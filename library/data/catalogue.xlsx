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Resources" sheetId="2" state="visible" r:id="rId4"/>
    <sheet name="Sections" sheetId="3" state="visible" r:id="rId5"/>
    <sheet name="Coverage" sheetId="4" state="visible" r:id="rId6"/>
    <sheet name="Removed" sheetId="5" state="visible" r:id="rId7"/>
  </sheets>
  <definedNames>
    <definedName function="false" hidden="true" localSheetId="1" name="_xlnm._FilterDatabase" vbProcedure="false">Resources!$A$1:$U$354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<sst xmlns="http://schemas.openxmlformats.org/spreadsheetml/2006/main" count="6346" uniqueCount="2405">
  <si>
    <t xml:space="preserve">Volt Library Catalogue</t>
  </si>
  <si>
    <t xml:space="preserve">Master data for the Volt Library directory app. Researched and checked as of October 29, 2026.</t>
  </si>
  <si>
    <t xml:space="preserve">At a glance</t>
  </si>
  <si>
    <t xml:space="preserve">Resources</t>
  </si>
  <si>
    <t xml:space="preserve">Sections</t>
  </si>
  <si>
    <t xml:space="preserve">Links verified</t>
  </si>
  <si>
    <t xml:space="preserve">Links that need a check</t>
  </si>
  <si>
    <t xml:space="preserve">Kept from the Notion library</t>
  </si>
  <si>
    <t xml:space="preserve">Removed entries (see Removed tab)</t>
  </si>
  <si>
    <t xml:space="preserve">How to use it</t>
  </si>
  <si>
    <t xml:space="preserve">Resources tab</t>
  </si>
  <si>
    <t xml:space="preserve">One row per resource. This is the tab the app reads. Filter by Section, Topics, Status or Link Check.</t>
  </si>
  <si>
    <t xml:space="preserve">Adding a resource</t>
  </si>
  <si>
    <t xml:space="preserve">Add a row at the bottom. Use the next ID for its section (e.g. LAW-036), pick Section from the dropdown, and fill at least Name, Topics, Description and URL.</t>
  </si>
  <si>
    <t xml:space="preserve">Editing</t>
  </si>
  <si>
    <t xml:space="preserve">Edit any cell directly. When you re-check a link or a date, set Link Check and update Last Checked.</t>
  </si>
  <si>
    <t xml:space="preserve">Grey rows</t>
  </si>
  <si>
    <t xml:space="preserve">An event whose End Date has passed turns grey automatically. Remove it or replace it with the next edition.</t>
  </si>
  <si>
    <t xml:space="preserve">Amber cells</t>
  </si>
  <si>
    <t xml:space="preserve">Link Check = Needs check. The URL is the official address as far as known but was not opened during research. Check these before launch.</t>
  </si>
  <si>
    <t xml:space="preserve">Sections tab</t>
  </si>
  <si>
    <t xml:space="preserve">The app's section list: key, code, display name and description, with live counts.</t>
  </si>
  <si>
    <t xml:space="preserve">Coverage tab</t>
  </si>
  <si>
    <t xml:space="preserve">Counts by section and topic, to spot gaps (for example, few AI entries in a section).</t>
  </si>
  <si>
    <t xml:space="preserve">Removed tab</t>
  </si>
  <si>
    <t xml:space="preserve">Entries dropped from the library, and why.</t>
  </si>
  <si>
    <t xml:space="preserve">Columns</t>
  </si>
  <si>
    <t xml:space="preserve">ID</t>
  </si>
  <si>
    <t xml:space="preserve">Section code + number. Stable; never reuse an ID.</t>
  </si>
  <si>
    <t xml:space="preserve">Name</t>
  </si>
  <si>
    <t xml:space="preserve">Display name in the app.</t>
  </si>
  <si>
    <t xml:space="preserve">Section / Section Key</t>
  </si>
  <si>
    <t xml:space="preserve">Display name and the key the app uses (laws, regulators, frameworks, certifications, learning, events, research, news, podcasts, books, tools, communities, jobs).</t>
  </si>
  <si>
    <t xml:space="preserve">Type</t>
  </si>
  <si>
    <t xml:space="preserve">What kind of resource it is (Law, Framework, Certification, Podcast, Job board...). Shown as the small label under the name.</t>
  </si>
  <si>
    <t xml:space="preserve">Topics</t>
  </si>
  <si>
    <t xml:space="preserve">Semicolon-separated, from: Cybersecurity; Privacy; AI; Tech Law; General.</t>
  </si>
  <si>
    <t xml:space="preserve">Description</t>
  </si>
  <si>
    <t xml:space="preserve">One plain sentence, 160 characters or fewer.</t>
  </si>
  <si>
    <t xml:space="preserve">URL</t>
  </si>
  <si>
    <t xml:space="preserve">Official page. No affiliate links.</t>
  </si>
  <si>
    <t xml:space="preserve">Publisher</t>
  </si>
  <si>
    <t xml:space="preserve">Issuing body, organizer, host or author's publisher.</t>
  </si>
  <si>
    <t xml:space="preserve">Jurisdiction</t>
  </si>
  <si>
    <t xml:space="preserve">Where it applies or is based: Global, EU, UK, US, US-CA, Nigeria, etc.</t>
  </si>
  <si>
    <t xml:space="preserve">Level</t>
  </si>
  <si>
    <t xml:space="preserve">Beginner, Intermediate, Advanced or All (learning, certifications, books, events).</t>
  </si>
  <si>
    <t xml:space="preserve">Cost</t>
  </si>
  <si>
    <t xml:space="preserve">Free, Freemium, Paid, or a price note. Prices are as of the Last Checked date.</t>
  </si>
  <si>
    <t xml:space="preserve">Format</t>
  </si>
  <si>
    <t xml:space="preserve">Online, In person, Hybrid, Audio, Print/ebook, Exam, Download, Software.</t>
  </si>
  <si>
    <t xml:space="preserve">Start Date / End Date</t>
  </si>
  <si>
    <t xml:space="preserve">Events only (and some laws' application dates). Real dates, YYYY-MM-DD.</t>
  </si>
  <si>
    <t xml:space="preserve">Location</t>
  </si>
  <si>
    <t xml:space="preserve">Events only.</t>
  </si>
  <si>
    <t xml:space="preserve">Status</t>
  </si>
  <si>
    <t xml:space="preserve">Laws: In force, Partly in force, Enacted - not yet in force. Events: Upcoming, Dates TBA. Others: Active, Inactive.</t>
  </si>
  <si>
    <t xml:space="preserve">Origin</t>
  </si>
  <si>
    <t xml:space="preserve">Notion import = kept from the existing library. New = added in this rebuild.</t>
  </si>
  <si>
    <t xml:space="preserve">Link Check</t>
  </si>
  <si>
    <t xml:space="preserve">Verified (page opened), Found in search (URL confirmed in search results), Needs check (not opened).</t>
  </si>
  <si>
    <t xml:space="preserve">Last Checked</t>
  </si>
  <si>
    <t xml:space="preserve">Date the link and facts were last confirmed.</t>
  </si>
  <si>
    <t xml:space="preserve">Curator Notes</t>
  </si>
  <si>
    <t xml:space="preserve">Key dates, versions, fees, prerequisites and what to watch. Not shown in the app.</t>
  </si>
  <si>
    <t xml:space="preserve">Updating the app</t>
  </si>
  <si>
    <t xml:space="preserve">Data</t>
  </si>
  <si>
    <t xml:space="preserve">Each Resources row becomes one entry in the app's DATA list: Name, Section Key, Type, Topics (as codes c, p, a, l, g), URL, and for events {when, end, loc, cost} from Start/End Date, Location and Cost.</t>
  </si>
  <si>
    <t xml:space="preserve">The app currently has 7 sections; this catalogue has 13. Replace the app's CATS list with the Sections tab (key, code, name, description).</t>
  </si>
  <si>
    <t xml:space="preserve">New topic</t>
  </si>
  <si>
    <t xml:space="preserve">Tech Law (code l) is new. Add it to the app's TOPICS list and give it a colour.</t>
  </si>
  <si>
    <t xml:space="preserve">Descriptions</t>
  </si>
  <si>
    <t xml:space="preserve">The app does not show descriptions yet. Add one line under each name using the Description column.</t>
  </si>
  <si>
    <t xml:space="preserve">Section</t>
  </si>
  <si>
    <t xml:space="preserve">Section Key</t>
  </si>
  <si>
    <t xml:space="preserve">Start Date</t>
  </si>
  <si>
    <t xml:space="preserve">End Date</t>
  </si>
  <si>
    <t xml:space="preserve">LAW-001</t>
  </si>
  <si>
    <t xml:space="preserve">General Data Protection Regulation (Regulation (EU) 2016/679)</t>
  </si>
  <si>
    <t xml:space="preserve">Laws &amp; Regulations</t>
  </si>
  <si>
    <t xml:space="preserve">laws</t>
  </si>
  <si>
    <t xml:space="preserve">Regulation</t>
  </si>
  <si>
    <t xml:space="preserve">Privacy</t>
  </si>
  <si>
    <t xml:space="preserve">EU regulation setting rules for processing personal data, data subject rights, controller and processor duties, transfers and fines.</t>
  </si>
  <si>
    <t xml:space="preserve">https://eur-lex.europa.eu/eli/reg/2016/679/oj/eng</t>
  </si>
  <si>
    <t xml:space="preserve">European Parliament and Council of the EU</t>
  </si>
  <si>
    <t xml:space="preserve">EU</t>
  </si>
  <si>
    <t xml:space="preserve">Free</t>
  </si>
  <si>
    <t xml:space="preserve">Online</t>
  </si>
  <si>
    <t xml:space="preserve">In force</t>
  </si>
  <si>
    <t xml:space="preserve">New</t>
  </si>
  <si>
    <t xml:space="preserve">Verified</t>
  </si>
  <si>
    <t xml:space="preserve">Applies since May 25, 2018. Digital Omnibus proposal (COM(2025) 837) would amend GDPR and move cookie rules into it; no Council mandate or trilogue as of mid-Oct 2026. Watch for end-2026 deal push.</t>
  </si>
  <si>
    <t xml:space="preserve">LAW-002</t>
  </si>
  <si>
    <t xml:space="preserve">EU Artificial Intelligence Act (Regulation (EU) 2024/1689)</t>
  </si>
  <si>
    <t xml:space="preserve">AI</t>
  </si>
  <si>
    <t xml:space="preserve">Risk-based EU rules for AI systems and general-purpose AI models: prohibited practices, high-risk requirements, transparency and governance.</t>
  </si>
  <si>
    <t xml:space="preserve">https://eur-lex.europa.eu/eli/reg/2024/1689/oj/eng</t>
  </si>
  <si>
    <t xml:space="preserve">Partly in force</t>
  </si>
  <si>
    <t xml:space="preserve">In force Aug 1, 2024. Bans and AI literacy Feb 2, 2025; GPAI Aug 2, 2025; Art. 50 transparency Aug 2, 2026. AI Omnibus Reg. (EU) 2026/1744 (in force Jul 27, 2026) moved Annex III high-risk to Dec 2, 2027 and Annex I to Aug 2, 2028.</t>
  </si>
  <si>
    <t xml:space="preserve">LAW-003</t>
  </si>
  <si>
    <t xml:space="preserve">NIS2 Directive (Directive (EU) 2022/2555)</t>
  </si>
  <si>
    <t xml:space="preserve">Directive</t>
  </si>
  <si>
    <t xml:space="preserve">Cybersecurity</t>
  </si>
  <si>
    <t xml:space="preserve">EU directive requiring essential and important entities in critical sectors to manage cybersecurity risk and report significant incidents.</t>
  </si>
  <si>
    <t xml:space="preserve">https://eur-lex.europa.eu/eli/dir/2022/2555/oj/eng</t>
  </si>
  <si>
    <t xml:space="preserve">Transposition deadline Oct 17, 2024; national measures apply from Oct 18, 2024. Obligations arise through national laws, so check each Member State's transposition. 24-hour early warning and 72-hour incident notification.</t>
  </si>
  <si>
    <t xml:space="preserve">LAW-004</t>
  </si>
  <si>
    <t xml:space="preserve">Digital Operational Resilience Act (DORA) (Regulation (EU) 2022/2554)</t>
  </si>
  <si>
    <t xml:space="preserve">EU regulation on ICT risk management, incident reporting, resilience testing and third-party ICT risk for financial entities.</t>
  </si>
  <si>
    <t xml:space="preserve">https://eur-lex.europa.eu/eli/reg/2022/2554/oj/eng</t>
  </si>
  <si>
    <t xml:space="preserve">Applies from Jan 17, 2025, with supporting RTS/ITS technical standards. Includes an oversight framework for critical ICT third-party service providers run by the European Supervisory Authorities.</t>
  </si>
  <si>
    <t xml:space="preserve">LAW-005</t>
  </si>
  <si>
    <t xml:space="preserve">Cyber Resilience Act (Regulation (EU) 2024/2847)</t>
  </si>
  <si>
    <t xml:space="preserve">EU regulation setting cybersecurity requirements for hardware and software products with digital elements across their lifecycle.</t>
  </si>
  <si>
    <t xml:space="preserve">https://eur-lex.europa.eu/eli/reg/2024/2847/oj/eng</t>
  </si>
  <si>
    <t xml:space="preserve">In force Dec 10, 2024. Manufacturer reporting of actively exploited vulnerabilities and severe incidents applies from Sep 11, 2026 (to CSIRTs and ENISA). Most obligations apply from Dec 11, 2027.</t>
  </si>
  <si>
    <t xml:space="preserve">LAW-006</t>
  </si>
  <si>
    <t xml:space="preserve">EU Data Act (Regulation (EU) 2023/2854)</t>
  </si>
  <si>
    <t xml:space="preserve">Tech Law; Privacy</t>
  </si>
  <si>
    <t xml:space="preserve">EU regulation on access to and use of data from connected products and related services, B2B data sharing terms and cloud switching.</t>
  </si>
  <si>
    <t xml:space="preserve">https://eur-lex.europa.eu/eli/reg/2023/2854/oj/eng</t>
  </si>
  <si>
    <t xml:space="preserve">Applies from Sep 12, 2025. Access-by-design duties for products placed on market after Sep 12, 2026. Unfair-terms rules reach older contracts from Sep 12, 2027. Digital Omnibus proposes amendments (pending).</t>
  </si>
  <si>
    <t xml:space="preserve">LAW-007</t>
  </si>
  <si>
    <t xml:space="preserve">ePrivacy Directive (Directive 2002/58/EC)</t>
  </si>
  <si>
    <t xml:space="preserve">EU directive on privacy in electronic communications, covering confidentiality, cookies and similar tracking, traffic data and direct marketing.</t>
  </si>
  <si>
    <t xml:space="preserve">https://eur-lex.europa.eu/eli/dir/2002/58/oj/eng</t>
  </si>
  <si>
    <t xml:space="preserve">Amended 2009 (cookie consent). Applied through national laws. The proposed ePrivacy Regulation was withdrawn in 2025; the pending Digital Omnibus would move cookie/terminal-device rules into the GDPR.</t>
  </si>
  <si>
    <t xml:space="preserve">LAW-008</t>
  </si>
  <si>
    <t xml:space="preserve">UK GDPR and Data Protection Act 2018</t>
  </si>
  <si>
    <t xml:space="preserve">Law</t>
  </si>
  <si>
    <t xml:space="preserve">UK framework for personal data processing: the Act supplements the retained UK GDPR and covers law enforcement and intelligence processing.</t>
  </si>
  <si>
    <t xml:space="preserve">https://www.legislation.gov.uk/ukpga/2018/12/contents</t>
  </si>
  <si>
    <t xml:space="preserve">UK Parliament</t>
  </si>
  <si>
    <t xml:space="preserve">UK</t>
  </si>
  <si>
    <t xml:space="preserve">UK GDPR is the retained version of EU GDPR. Both were substantially amended by the Data (Use and Access) Act 2025, with main changes in force from Feb 5, 2026.</t>
  </si>
  <si>
    <t xml:space="preserve">LAW-009</t>
  </si>
  <si>
    <t xml:space="preserve">Data (Use and Access) Act 2025</t>
  </si>
  <si>
    <t xml:space="preserve">Privacy; Tech Law</t>
  </si>
  <si>
    <t xml:space="preserve">UK Act amending UK GDPR, DPA 2018 and PECR, creating smart data and digital verification regimes, and restructuring the ICO.</t>
  </si>
  <si>
    <t xml:space="preserve">https://www.legislation.gov.uk/ukpga/2025/18/contents</t>
  </si>
  <si>
    <t xml:space="preserve">Royal Assent Jun 19, 2025. Main data protection changes in force Feb 5, 2026 (Commencement No. 6). Complaints-handling duty from Jun 19, 2026. ICO became the Information Commission on Sep 30, 2026. Some provisions still commencing.</t>
  </si>
  <si>
    <t xml:space="preserve">LAW-010</t>
  </si>
  <si>
    <t xml:space="preserve">HIPAA Privacy, Security and Breach Notification Rules (45 CFR Parts 160 and 164)</t>
  </si>
  <si>
    <t xml:space="preserve">Privacy; Cybersecurity</t>
  </si>
  <si>
    <t xml:space="preserve">US federal rules governing use, disclosure and security of protected health information by covered entities and business associates.</t>
  </si>
  <si>
    <t xml:space="preserve">https://www.ecfr.gov/current/title-45/subtitle-A/subchapter-C/part-164</t>
  </si>
  <si>
    <t xml:space="preserve">U.S. Department of Health and Human Services</t>
  </si>
  <si>
    <t xml:space="preserve">US</t>
  </si>
  <si>
    <t xml:space="preserve">Enforced by HHS OCR. Proposed Security Rule overhaul (NPRM Jan 2025: MFA, encryption, asset inventory) has not been finalized; HHS has signalled final action in 2027.</t>
  </si>
  <si>
    <t xml:space="preserve">LAW-011</t>
  </si>
  <si>
    <t xml:space="preserve">GLBA Safeguards Rule (16 CFR Part 314)</t>
  </si>
  <si>
    <t xml:space="preserve">Cybersecurity; Privacy</t>
  </si>
  <si>
    <t xml:space="preserve">FTC rule under the Gramm-Leach-Bliley Act requiring non-bank financial institutions to run an information security program.</t>
  </si>
  <si>
    <t xml:space="preserve">https://www.ecfr.gov/current/title-16/chapter-I/subchapter-C/part-314</t>
  </si>
  <si>
    <t xml:space="preserve">Federal Trade Commission</t>
  </si>
  <si>
    <t xml:space="preserve">Amended 2021 (specific program elements, compliance from Jun 9, 2023). Breach notice to FTC for events affecting 500+ consumers effective May 13, 2024 (16 CFR 314.4(j)).</t>
  </si>
  <si>
    <t xml:space="preserve">LAW-012</t>
  </si>
  <si>
    <t xml:space="preserve">Children's Online Privacy Protection Rule (COPPA Rule) (16 CFR Part 312)</t>
  </si>
  <si>
    <t xml:space="preserve">FTC rule requiring verifiable parental consent and data limits for online services directed to, or knowingly collecting data from, children under 13.</t>
  </si>
  <si>
    <t xml:space="preserve">https://www.ecfr.gov/current/title-16/chapter-I/subchapter-C/part-312</t>
  </si>
  <si>
    <t xml:space="preserve">Amended rule published Apr 22, 2025 (90 FR 16977), effective Jun 23, 2025; compliance required by Apr 22, 2026. Adds separate consent for third-party disclosures, data retention limits and a written security program.</t>
  </si>
  <si>
    <t xml:space="preserve">LAW-013</t>
  </si>
  <si>
    <t xml:space="preserve">FERPA Regulations (34 CFR Part 99)</t>
  </si>
  <si>
    <t xml:space="preserve">US Department of Education rules on the privacy of student education records, parental and student access rights, and disclosure limits.</t>
  </si>
  <si>
    <t xml:space="preserve">https://www.ecfr.gov/current/title-34/subtitle-A/part-99</t>
  </si>
  <si>
    <t xml:space="preserve">U.S. Department of Education</t>
  </si>
  <si>
    <t xml:space="preserve">Found in search</t>
  </si>
  <si>
    <t xml:space="preserve">Implements the Family Educational Rights and Privacy Act (1974). Applies to schools receiving federal education funds; relevant to edtech vendors acting as school officials.</t>
  </si>
  <si>
    <t xml:space="preserve">LAW-014</t>
  </si>
  <si>
    <t xml:space="preserve">SEC Cybersecurity Risk Management, Strategy, Governance, and Incident Disclosure Rules (Release 33-11216)</t>
  </si>
  <si>
    <t xml:space="preserve">Rules</t>
  </si>
  <si>
    <t xml:space="preserve">SEC rules requiring public companies to disclose material cybersecurity incidents on Form 8-K and describe cyber risk governance annually.</t>
  </si>
  <si>
    <t xml:space="preserve">https://www.sec.gov/rules-regulations/2023/07/s7-09-22</t>
  </si>
  <si>
    <t xml:space="preserve">U.S. Securities and Exchange Commission</t>
  </si>
  <si>
    <t xml:space="preserve">Adopted Jul 26, 2023; effective Sep 5, 2023. Form 8-K Item 1.05 due 4 business days after materiality determination; Reg S-K Item 106 annual disclosure. Banking and securities groups petitioned in 2025-26 to rescind or narrow.</t>
  </si>
  <si>
    <t xml:space="preserve">LAW-015</t>
  </si>
  <si>
    <t xml:space="preserve">Cyber Incident Reporting for Critical Infrastructure Act of 2022 (CIRCIA)</t>
  </si>
  <si>
    <t xml:space="preserve">US law directing CISA to require critical infrastructure entities to report covered cyber incidents and ransom payments.</t>
  </si>
  <si>
    <t xml:space="preserve">https://www.cisa.gov/topics/cyber-threats-and-advisories/information-sharing/cyber-incident-reporting-critical-infrastructure-act-2022-circia</t>
  </si>
  <si>
    <t xml:space="preserve">Cybersecurity and Infrastructure Security Agency (CISA)</t>
  </si>
  <si>
    <t xml:space="preserve">Enacted Mar 15, 2022; NPRM Apr 4, 2024. Final rule sent to White House (OIRA) review by early Oct 2026; publication expected late 2026. Mandatory 72-hour incident / 24-hour ransom payment reporting starts only once the final rule takes effect.</t>
  </si>
  <si>
    <t xml:space="preserve">LAW-016</t>
  </si>
  <si>
    <t xml:space="preserve">FTC Act Section 5 (15 U.S.C. 45)</t>
  </si>
  <si>
    <t xml:space="preserve">Privacy; Cybersecurity; AI</t>
  </si>
  <si>
    <t xml:space="preserve">US statute prohibiting unfair or deceptive acts or practices; the FTC's main legal basis for privacy, data security and AI enforcement.</t>
  </si>
  <si>
    <t xml:space="preserve">https://www.govinfo.gov/link/uscode/15/45</t>
  </si>
  <si>
    <t xml:space="preserve">U.S. Congress</t>
  </si>
  <si>
    <t xml:space="preserve">Basis for FTC consent orders on data security, privacy misrepresentations and deceptive AI claims. Remedies often include algorithm/data deletion and multi-year security program requirements.</t>
  </si>
  <si>
    <t xml:space="preserve">LAW-017</t>
  </si>
  <si>
    <t xml:space="preserve">California Consumer Privacy Act (CCPA), as amended by the CPRA (Cal. Civ. Code 1798.100 et seq.)</t>
  </si>
  <si>
    <t xml:space="preserve">California statute giving consumers rights to know, delete, correct and opt out of sale or sharing of personal information.</t>
  </si>
  <si>
    <t xml:space="preserve">https://leginfo.legislature.ca.gov/faces/codes_displayText.xhtml?division=3.&amp;lawCode=CIV&amp;part=4.&amp;title=1.81.5</t>
  </si>
  <si>
    <t xml:space="preserve">California Legislature</t>
  </si>
  <si>
    <t xml:space="preserve">US-CA</t>
  </si>
  <si>
    <t xml:space="preserve">Effective Jan 1, 2020; CPRA amendments operative Jan 1, 2023. Enforced by CalPrivacy (California Privacy Protection Agency) and the California Attorney General.</t>
  </si>
  <si>
    <t xml:space="preserve">LAW-018</t>
  </si>
  <si>
    <t xml:space="preserve">CCPA Regulations on ADMT, Risk Assessments and Cybersecurity Audits (Cal. Code Regs. tit. 11, § 7000 et seq.)</t>
  </si>
  <si>
    <t xml:space="preserve">Privacy; AI; Cybersecurity</t>
  </si>
  <si>
    <t xml:space="preserve">CalPrivacy regulations adding automated decisionmaking technology rights, privacy risk assessments and annual cybersecurity audits to the CCPA rules.</t>
  </si>
  <si>
    <t xml:space="preserve">https://cppa.ca.gov/regulations/ccpa_updates.html</t>
  </si>
  <si>
    <t xml:space="preserve">California Privacy Protection Agency (CalPrivacy)</t>
  </si>
  <si>
    <t xml:space="preserve">Approved by OAL Sep 22, 2025; effective Jan 1, 2026. ADMT compliance from Jan 1, 2027. Risk assessment attestations due Apr 1, 2028. Cybersecurity audit certifications due Apr 1, 2028/2029/2030 by revenue tier.</t>
  </si>
  <si>
    <t xml:space="preserve">LAW-019</t>
  </si>
  <si>
    <t xml:space="preserve">Colorado AI Act (SB 24-205), repealed and reenacted by SB 26-189 (Automated Decision-Making Technology)</t>
  </si>
  <si>
    <t xml:space="preserve">Colorado law regulating automated decision-making technology used in consequential decisions such as employment, housing, lending and insurance.</t>
  </si>
  <si>
    <t xml:space="preserve">https://leg.colorado.gov/bills/sb26-189</t>
  </si>
  <si>
    <t xml:space="preserve">Colorado General Assembly</t>
  </si>
  <si>
    <t xml:space="preserve">US-CO</t>
  </si>
  <si>
    <t xml:space="preserve">Enacted - not yet in force</t>
  </si>
  <si>
    <t xml:space="preserve">SB 24-205 (2024) was delayed to Jun 30, 2026, then rewritten by SB 26-189, signed May 14, 2026: now an ADMT notice, explanation, correction and human-review law effective Jan 1, 2027. AG-only enforcement; 60-day cure.</t>
  </si>
  <si>
    <t xml:space="preserve">LAW-020</t>
  </si>
  <si>
    <t xml:space="preserve">Texas Responsible Artificial Intelligence Governance Act (TRAIGA) (HB 149)</t>
  </si>
  <si>
    <t xml:space="preserve">Texas law banning certain intentional harmful AI uses, setting disclosure duties for government and health AI uses, and creating an AI sandbox.</t>
  </si>
  <si>
    <t xml:space="preserve">https://capitol.texas.gov/tlodocs/89R/billtext/html/HB00149F.htm</t>
  </si>
  <si>
    <t xml:space="preserve">Texas Legislature</t>
  </si>
  <si>
    <t xml:space="preserve">US-TX</t>
  </si>
  <si>
    <t xml:space="preserve">Effective Jan 1, 2026 (Bus. &amp; Com. Code ch. 551-554). Attorney General has exclusive enforcement; 60-day cure; penalties up to $200,000 per uncurable violation. Creates 36-month regulatory sandbox and Texas AI Council.</t>
  </si>
  <si>
    <t xml:space="preserve">LAW-021</t>
  </si>
  <si>
    <t xml:space="preserve">Texas Data Privacy and Security Act (TDPSA) (HB 4)</t>
  </si>
  <si>
    <t xml:space="preserve">Texas consumer privacy law granting access, deletion, correction and opt-out rights and requiring data protection assessments.</t>
  </si>
  <si>
    <t xml:space="preserve">https://capitol.texas.gov/tlodocs/88R/billtext/html/HB00004F.htm</t>
  </si>
  <si>
    <t xml:space="preserve">Effective Jul 1, 2024 (Bus. &amp; Com. Code ch. 541); universal opt-out signal duty from Jan 1, 2025. Applies to most businesses regardless of revenue (small-business carve-out). Attorney General enforces; 30-day cure.</t>
  </si>
  <si>
    <t xml:space="preserve">LAW-022</t>
  </si>
  <si>
    <t xml:space="preserve">Virginia Consumer Data Protection Act (VCDPA) (Va. Code 59.1-575 et seq.)</t>
  </si>
  <si>
    <t xml:space="preserve">Virginia consumer privacy law with access, deletion, correction and opt-out rights, sensitive-data consent and data protection assessments.</t>
  </si>
  <si>
    <t xml:space="preserve">https://law.lis.virginia.gov/vacodefull/title59.1/chapter53/</t>
  </si>
  <si>
    <t xml:space="preserve">Virginia General Assembly</t>
  </si>
  <si>
    <t xml:space="preserve">US-VA</t>
  </si>
  <si>
    <t xml:space="preserve">Effective Jan 1, 2023; template for many later state privacy laws. AG enforcement with 30-day cure period. Amended since, incl. added protections for children's data and a 2025 section (59.1-577.1) limiting social media use by minors under 16.</t>
  </si>
  <si>
    <t xml:space="preserve">LAW-023</t>
  </si>
  <si>
    <t xml:space="preserve">Illinois Biometric Information Privacy Act (BIPA) (740 ILCS 14)</t>
  </si>
  <si>
    <t xml:space="preserve">Illinois law requiring notice, written consent and retention policies for biometric identifiers, with a private right of action.</t>
  </si>
  <si>
    <t xml:space="preserve">https://www.ilga.gov/legislation/ilcs/ilcs3.asp?ActID=3004&amp;ChapterID=57</t>
  </si>
  <si>
    <t xml:space="preserve">Illinois General Assembly</t>
  </si>
  <si>
    <t xml:space="preserve">US-IL</t>
  </si>
  <si>
    <t xml:space="preserve">Private right of action: $1,000 negligent / $5,000 intentional or reckless per violation. SB 2979 (Aug 2, 2024) limits recovery to one violation per person per collection method and allows electronic consent.</t>
  </si>
  <si>
    <t xml:space="preserve">LAW-024</t>
  </si>
  <si>
    <t xml:space="preserve">NYC Local Law 144 of 2021 (Automated Employment Decision Tools)</t>
  </si>
  <si>
    <t xml:space="preserve">New York City law requiring annual bias audits, public audit summaries and candidate notices before employers use automated employment decision tools.</t>
  </si>
  <si>
    <t xml:space="preserve">https://www.nyc.gov/site/dca/about/automated-employment-decision-tools.page</t>
  </si>
  <si>
    <t xml:space="preserve">New York City Council; Department of Consumer and Worker Protection</t>
  </si>
  <si>
    <t xml:space="preserve">US-NY</t>
  </si>
  <si>
    <t xml:space="preserve">DCWP enforcement began Jul 5, 2023 under implementing rules (6 RCNY 5-300 et seq.). Applies to tools that substantially assist hiring or promotion decisions for NYC jobs.</t>
  </si>
  <si>
    <t xml:space="preserve">LAW-025</t>
  </si>
  <si>
    <t xml:space="preserve">NYDFS Cybersecurity Regulation (23 NYCRR Part 500)</t>
  </si>
  <si>
    <t xml:space="preserve">New York DFS rule requiring regulated financial entities to maintain cybersecurity programs, CISO oversight, MFA and 72-hour incident notice.</t>
  </si>
  <si>
    <t xml:space="preserve">https://www.dfs.ny.gov/cybersecurity</t>
  </si>
  <si>
    <t xml:space="preserve">New York State Department of Financial Services</t>
  </si>
  <si>
    <t xml:space="preserve">Original rule effective Mar 1, 2017. Second Amendment (Nov 1, 2023) phased in; final requirements (universal MFA, asset inventory) effective Nov 1, 2025. Annual compliance certification due Apr 15.</t>
  </si>
  <si>
    <t xml:space="preserve">LAW-026</t>
  </si>
  <si>
    <t xml:space="preserve">Nigeria Data Protection Act 2023</t>
  </si>
  <si>
    <t xml:space="preserve">Nigerian statute governing personal data processing, data subject rights, cross-border transfers, and establishing the Nigeria Data Protection Commission.</t>
  </si>
  <si>
    <t xml:space="preserve">https://ndpc.gov.ng/wp-content/uploads/2024/03/Nigeria_Data_Protection_Act_2023.pdf</t>
  </si>
  <si>
    <t xml:space="preserve">National Assembly of Nigeria</t>
  </si>
  <si>
    <t xml:space="preserve">Nigeria</t>
  </si>
  <si>
    <t xml:space="preserve">Signed June 12, 2023 (Act No. 37). Replaced the NDPR 2019 regime as primary law; operationalized by the GAID 2025. Data controllers/processors of major importance must register with the NDPC. URL is the official Act text (Gazette reproduction) on ndpc.gov.ng.</t>
  </si>
  <si>
    <t xml:space="preserve">LAW-027</t>
  </si>
  <si>
    <t xml:space="preserve">NDPC General Application and Implementation Directive (GAID) 2025</t>
  </si>
  <si>
    <t xml:space="preserve">Privacy; AI</t>
  </si>
  <si>
    <t xml:space="preserve">NDPC directive implementing the Nigeria Data Protection Act 2023, covering compliance audits, DPOs, DPIAs, legitimate interest and emerging tech.</t>
  </si>
  <si>
    <t xml:space="preserve">https://ndpc.gov.ng/wp-content/uploads/2025/07/NDP-ACT-GAID-2025-MARCH-20TH.pdf</t>
  </si>
  <si>
    <t xml:space="preserve">Nigeria Data Protection Commission (NDPC)</t>
  </si>
  <si>
    <t xml:space="preserve">Issued Mar 20, 2025; effective Sep 19, 2025. Replaces the NDPR 2019 and its 2020 Implementation Framework. Sets Compliance Audit Return filing and fees, DPO credentials, DPIA template, and rules for AI, blockchain and IoT processing.</t>
  </si>
  <si>
    <t xml:space="preserve">LAW-028</t>
  </si>
  <si>
    <t xml:space="preserve">Protection of Personal Information Act 4 of 2013 (POPIA)</t>
  </si>
  <si>
    <t xml:space="preserve">South African law setting conditions for lawful processing of personal information, data subject rights, breach notification and direct marketing limits.</t>
  </si>
  <si>
    <t xml:space="preserve">https://www.gov.za/sites/default/files/gcis_document/201409/3706726-11act4of2013protectionofpersonalinforcorrect.pdf</t>
  </si>
  <si>
    <t xml:space="preserve">Parliament of South Africa</t>
  </si>
  <si>
    <t xml:space="preserve">South Africa</t>
  </si>
  <si>
    <t xml:space="preserve">Main provisions commenced Jul 1, 2020 with a one-year grace period; compliance required from Jul 1, 2021. Enforced by the Information Regulator, which also oversees PAIA.</t>
  </si>
  <si>
    <t xml:space="preserve">LAW-029</t>
  </si>
  <si>
    <t xml:space="preserve">Kenya Data Protection Act, 2019 (No. 24 of 2019)</t>
  </si>
  <si>
    <t xml:space="preserve">Kenyan statute regulating personal data processing, data subject rights, controller and processor registration, and the Data Commissioner's powers.</t>
  </si>
  <si>
    <t xml:space="preserve">https://new.kenyalaw.org/akn/ke/act/2019/24/eng@2022-12-31</t>
  </si>
  <si>
    <t xml:space="preserve">Parliament of Kenya</t>
  </si>
  <si>
    <t xml:space="preserve">Kenya</t>
  </si>
  <si>
    <t xml:space="preserve">Commenced Nov 25, 2019. Supplemented by the Data Protection (General) Regulations 2021 and registration and complaints regulations. URL is the official Kenya Law consolidated text (version dated 2022-12-31).</t>
  </si>
  <si>
    <t xml:space="preserve">LAW-030</t>
  </si>
  <si>
    <t xml:space="preserve">Brazil General Data Protection Law (LGPD) (Law No. 13,709/2018)</t>
  </si>
  <si>
    <t xml:space="preserve">Brazilian law governing personal data processing, legal bases, data subject rights and international transfers, enforced by the ANPD.</t>
  </si>
  <si>
    <t xml:space="preserve">https://www.planalto.gov.br/ccivil_03/_ato2015-2018/2018/lei/l13709compilado.htm</t>
  </si>
  <si>
    <t xml:space="preserve">National Congress of Brazil</t>
  </si>
  <si>
    <t xml:space="preserve">Brazil</t>
  </si>
  <si>
    <t xml:space="preserve">In force Sep 18, 2020; administrative sanctions applicable from Aug 1, 2021. ANPD has issued regulations on sanctions, international transfers (SCCs) and DPOs.</t>
  </si>
  <si>
    <t xml:space="preserve">LAW-031</t>
  </si>
  <si>
    <t xml:space="preserve">India Digital Personal Data Protection Act, 2023 and DPDP Rules, 2025</t>
  </si>
  <si>
    <t xml:space="preserve">Indian law and implementing rules governing digital personal data processing, consent, data principal rights and the Data Protection Board.</t>
  </si>
  <si>
    <t xml:space="preserve">https://www.meity.gov.in/static/uploads/2024/06/2bf1f0e9f04e6fb4f8fef35e82c42aa5.pdf</t>
  </si>
  <si>
    <t xml:space="preserve">Ministry of Electronics and Information Technology (MeitY)</t>
  </si>
  <si>
    <t xml:space="preserve">India</t>
  </si>
  <si>
    <t xml:space="preserve">Act assented Aug 11, 2023. Rules notified Nov 13, 2025 (G.S.R. 846(E)) with staged commencement: Board provisions Nov 13, 2025; consent manager provisions Nov 13, 2026; remaining obligations May 13, 2027. URL is the official Act text on meity.gov.in.</t>
  </si>
  <si>
    <t xml:space="preserve">LAW-032</t>
  </si>
  <si>
    <t xml:space="preserve">Personal Information Protection and Electronic Documents Act (PIPEDA) (S.C. 2000, c. 5)</t>
  </si>
  <si>
    <t xml:space="preserve">Canadian federal law governing how private-sector organizations collect, use and disclose personal information in commercial activity.</t>
  </si>
  <si>
    <t xml:space="preserve">https://laws-lois.justice.gc.ca/eng/acts/P-8.6/</t>
  </si>
  <si>
    <t xml:space="preserve">Parliament of Canada</t>
  </si>
  <si>
    <t xml:space="preserve">Canada</t>
  </si>
  <si>
    <t xml:space="preserve">Mandatory breach reporting since Nov 1, 2018. Bill C-27 (CPPA and AIDA) died on prorogation in Jan 2025; watch for reintroduced federal privacy reform. Quebec Law 25 and other provincial laws apply in parallel.</t>
  </si>
  <si>
    <t xml:space="preserve">LAW-033</t>
  </si>
  <si>
    <t xml:space="preserve">Singapore Personal Data Protection Act 2012 (PDPA)</t>
  </si>
  <si>
    <t xml:space="preserve">Singapore law governing private-sector collection, use and disclosure of personal data, including consent, breach notification and Do Not Call rules.</t>
  </si>
  <si>
    <t xml:space="preserve">https://sso.agc.gov.sg/Act/PDPA2012</t>
  </si>
  <si>
    <t xml:space="preserve">Parliament of Singapore</t>
  </si>
  <si>
    <t xml:space="preserve">Singapore</t>
  </si>
  <si>
    <t xml:space="preserve">Main obligations in force since Jul 2, 2014. 2020 amendments added mandatory breach notification (Feb 1, 2021) and fines up to 10% of Singapore turnover (Oct 1, 2022). Administered by the PDPC.</t>
  </si>
  <si>
    <t xml:space="preserve">LAW-034</t>
  </si>
  <si>
    <t xml:space="preserve">Japan Act on the Protection of Personal Information (APPI)</t>
  </si>
  <si>
    <t xml:space="preserve">Japanese law on business handling of personal information, including purpose limits, third-party provision, cross-border transfers and breach reports.</t>
  </si>
  <si>
    <t xml:space="preserve">https://www.ppc.go.jp/en/</t>
  </si>
  <si>
    <t xml:space="preserve">National Diet of Japan; Personal Information Protection Commission</t>
  </si>
  <si>
    <t xml:space="preserve">Japan</t>
  </si>
  <si>
    <t xml:space="preserve">Enacted 2003; major 2020 amendments in force Apr 1, 2022 (breach reporting, pseudonymized data). PPC adopted a System Reform Policy under the triennial review on Jan 9, 2026; check PPC for amendment bill status. URL is PPC English site with English translations of the Act.</t>
  </si>
  <si>
    <t xml:space="preserve">LAW-035</t>
  </si>
  <si>
    <t xml:space="preserve">Council of Europe Framework Convention on Artificial Intelligence and Human Rights, Democracy and the Rule of Law (CETS No. 225)</t>
  </si>
  <si>
    <t xml:space="preserve">Treaty</t>
  </si>
  <si>
    <t xml:space="preserve">First binding international treaty on AI, requiring parties to ensure AI lifecycle activities respect human rights, democracy and the rule of law.</t>
  </si>
  <si>
    <t xml:space="preserve">https://www.coe.int/en-GB/web/conventions/full-list2?module=signatures-by-treaty&amp;treatynum=225</t>
  </si>
  <si>
    <t xml:space="preserve">Council of Europe</t>
  </si>
  <si>
    <t xml:space="preserve">Adopted May 17, 2024; opened for signature Sep 5, 2024 (signatories include the EU, UK, US, Canada, Japan). EU ratified May 15, 2026. Enters into force after five ratifications incl. three CoE member states; not yet in force as of Oct 2026.</t>
  </si>
  <si>
    <t xml:space="preserve">REG-001</t>
  </si>
  <si>
    <t xml:space="preserve">Federal Trade Commission (FTC)</t>
  </si>
  <si>
    <t xml:space="preserve">Regulators &amp; Official Guidance</t>
  </si>
  <si>
    <t xml:space="preserve">regulators</t>
  </si>
  <si>
    <t xml:space="preserve">Regulator</t>
  </si>
  <si>
    <t xml:space="preserve">US federal agency enforcing consumer protection law on privacy, data security and AI claims, plus COPPA, the GLBA Safeguards Rule and related rules.</t>
  </si>
  <si>
    <t xml:space="preserve">https://www.ftc.gov/</t>
  </si>
  <si>
    <t xml:space="preserve">Active</t>
  </si>
  <si>
    <t xml:space="preserve">Publishes enforcement actions, business guidance and policy statements. Key tools: FTC Act Section 5, COPPA Rule, Safeguards Rule, Health Breach Notification Rule.</t>
  </si>
  <si>
    <t xml:space="preserve">REG-002</t>
  </si>
  <si>
    <t xml:space="preserve">California agency that issues CCPA regulations, enforces the CCPA and runs the data broker registry and Delete Request and Opt-out Platform (DROP).</t>
  </si>
  <si>
    <t xml:space="preserve">https://privacy.ca.gov/about-us/about-calprivacy/</t>
  </si>
  <si>
    <t xml:space="preserve">California Privacy Protection Agency</t>
  </si>
  <si>
    <t xml:space="preserve">Now branded CalPrivacy and uses privacy.ca.gov (cppa.ca.gov still hosts regulations). DROP launched Jan 1, 2026; brokers must process DROP deletions from Aug 1, 2026. ADMT/risk/audit rules effective Jan 1, 2026.</t>
  </si>
  <si>
    <t xml:space="preserve">REG-003</t>
  </si>
  <si>
    <t xml:space="preserve">HHS Office for Civil Rights (OCR) - HIPAA</t>
  </si>
  <si>
    <t xml:space="preserve">US HHS office that enforces the HIPAA Privacy, Security and Breach Notification Rules and publishes guidance and enforcement actions.</t>
  </si>
  <si>
    <t xml:space="preserve">https://www.hhs.gov/hipaa/index.html</t>
  </si>
  <si>
    <t xml:space="preserve">Runs the breach portal for incidents affecting 500+ individuals and a risk analysis enforcement initiative. Security Rule update proposed Jan 2025; final action now signalled for 2027.</t>
  </si>
  <si>
    <t xml:space="preserve">REG-004</t>
  </si>
  <si>
    <t xml:space="preserve">U.S. Securities and Exchange Commission (SEC)</t>
  </si>
  <si>
    <t xml:space="preserve">US securities regulator overseeing public company cybersecurity disclosure, Regulation S-P customer data safeguards and cyber-related enforcement.</t>
  </si>
  <si>
    <t xml:space="preserve">https://www.sec.gov/</t>
  </si>
  <si>
    <t xml:space="preserve">Cyber and Emerging Technologies Unit (CETU) created Feb 2025. Amended Regulation S-P (incident response and customer notice) adopted 2024 with phased compliance. Rescission petitions on 2023 cyber disclosure rules pending.</t>
  </si>
  <si>
    <t xml:space="preserve">REG-005</t>
  </si>
  <si>
    <t xml:space="preserve">Cybersecurity and Infrastructure Security Agency (CISA) - Resources for Lawyers</t>
  </si>
  <si>
    <t xml:space="preserve">Agency</t>
  </si>
  <si>
    <t xml:space="preserve">US federal cyber defense agency; this CISA page gathers resources for lawyers on incident reporting, information sharing and legal frameworks.</t>
  </si>
  <si>
    <t xml:space="preserve">https://www.cisa.gov/about/resources-lawyers</t>
  </si>
  <si>
    <t xml:space="preserve">Cybersecurity and Infrastructure Security Agency</t>
  </si>
  <si>
    <t xml:space="preserve">CISA is writing the CIRCIA incident reporting rule (final rule at OIRA review as of Oct 2026) and publishes Known Exploited Vulnerabilities, Secure by Design and advisories.</t>
  </si>
  <si>
    <t xml:space="preserve">REG-006</t>
  </si>
  <si>
    <t xml:space="preserve">NIST Center for Advancing Innovation and Standards for Super Intelligence (CAISSI)</t>
  </si>
  <si>
    <t xml:space="preserve">NIST center that works with industry on AI model testing, evaluations and voluntary standards; successor to the US AI Safety Institute.</t>
  </si>
  <si>
    <t xml:space="preserve">https://www.nist.gov/caisi</t>
  </si>
  <si>
    <t xml:space="preserve">National Institute of Standards and Technology</t>
  </si>
  <si>
    <t xml:space="preserve">Renamed from the US AI Safety Institute to CAISI in June 2025; the nist.gov/caisi page is now titled CAISSI (Center for Advancing Innovation and Standards for Super Intelligence). Publishes frontier model evaluations. NIST also maintains the AI RMF (listed under frameworks).</t>
  </si>
  <si>
    <t xml:space="preserve">REG-007</t>
  </si>
  <si>
    <t xml:space="preserve">European Data Protection Board (EDPB)</t>
  </si>
  <si>
    <t xml:space="preserve">Network</t>
  </si>
  <si>
    <t xml:space="preserve">EU body of national data protection authorities that issues GDPR guidelines and opinions and adopts binding decisions in cross-border cases.</t>
  </si>
  <si>
    <t xml:space="preserve">https://www.edpb.europa.eu/</t>
  </si>
  <si>
    <t xml:space="preserve">European Data Protection Board</t>
  </si>
  <si>
    <t xml:space="preserve">Key source for GDPR interpretation (guidelines, opinions incl. on AI models, coordinated enforcement reports). EDPB and EDPS issued a joint opinion on the Digital Omnibus in 2026.</t>
  </si>
  <si>
    <t xml:space="preserve">REG-008</t>
  </si>
  <si>
    <t xml:space="preserve">European AI Office</t>
  </si>
  <si>
    <t xml:space="preserve">European Commission office implementing the AI Act, supervising general-purpose AI models and coordinating AI Act guidance and codes of practice.</t>
  </si>
  <si>
    <t xml:space="preserve">https://digital-strategy.ec.europa.eu/en/policies/ai-office</t>
  </si>
  <si>
    <t xml:space="preserve">European Commission</t>
  </si>
  <si>
    <t xml:space="preserve">Published GPAI Code of Practice (Jul 10, 2025) and guidelines on prohibited practices and AI system definition. Commission enforcement powers over GPAI providers apply from Aug 2, 2026.</t>
  </si>
  <si>
    <t xml:space="preserve">REG-009</t>
  </si>
  <si>
    <t xml:space="preserve">European Union Agency for Cybersecurity (ENISA)</t>
  </si>
  <si>
    <t xml:space="preserve">EU cybersecurity agency supporting NIS2 implementation, certification schemes, threat reporting and the Cyber Resilience Act reporting platform.</t>
  </si>
  <si>
    <t xml:space="preserve">https://www.enisa.europa.eu/</t>
  </si>
  <si>
    <t xml:space="preserve">European Union Agency for Cybersecurity</t>
  </si>
  <si>
    <t xml:space="preserve">Responsible for the CRA single reporting platform (CRA reporting mandatory from Sep 11, 2026) and the EU Vulnerability Database. Publishes annual Threat Landscape reports and NIS2 technical guidance.</t>
  </si>
  <si>
    <t xml:space="preserve">REG-010</t>
  </si>
  <si>
    <t xml:space="preserve">UK Information Commission (formerly Information Commissioner's Office, ICO)</t>
  </si>
  <si>
    <t xml:space="preserve">UK regulator for data protection, PECR and freedom of information, publishing guidance, codes of practice and enforcement actions.</t>
  </si>
  <si>
    <t xml:space="preserve">https://ico.org.uk/</t>
  </si>
  <si>
    <t xml:space="preserve">Information Commission</t>
  </si>
  <si>
    <t xml:space="preserve">ICO became the Information Commission (a board-led body) on Sep 30, 2026 under the Data (Use and Access) Act 2025; website still uses ico.org.uk and ICO branding. Updating guidance for DUAA changes.</t>
  </si>
  <si>
    <t xml:space="preserve">REG-011</t>
  </si>
  <si>
    <t xml:space="preserve">CNIL (Commission nationale de l'informatique et des libertes)</t>
  </si>
  <si>
    <t xml:space="preserve">French data protection authority known for GDPR and cookie enforcement and practical guidance on AI system development.</t>
  </si>
  <si>
    <t xml:space="preserve">https://www.cnil.fr/en</t>
  </si>
  <si>
    <t xml:space="preserve">CNIL</t>
  </si>
  <si>
    <t xml:space="preserve">France</t>
  </si>
  <si>
    <t xml:space="preserve">Publishes English-language AI how-to sheets and recommendations on GDPR-compliant AI development. Frequent cookie/tracker enforcement under French ePrivacy rules.</t>
  </si>
  <si>
    <t xml:space="preserve">REG-012</t>
  </si>
  <si>
    <t xml:space="preserve">Data Protection Commission (Ireland)</t>
  </si>
  <si>
    <t xml:space="preserve">Irish data protection authority and GDPR lead supervisory authority for many large technology companies with EU headquarters in Ireland.</t>
  </si>
  <si>
    <t xml:space="preserve">https://www.dataprotection.ie/</t>
  </si>
  <si>
    <t xml:space="preserve">Data Protection Commission</t>
  </si>
  <si>
    <t xml:space="preserve">Ireland</t>
  </si>
  <si>
    <t xml:space="preserve">Issued many of the largest GDPR fines (e.g., TikTok EUR 530m in May 2025 over transfers to China; Google EUR 403m in Sep 2026 over location data). Decisions often shaped by EDPB binding decisions. Published an AI Insights Report (Sep 2026).</t>
  </si>
  <si>
    <t xml:space="preserve">REG-013</t>
  </si>
  <si>
    <t xml:space="preserve">Nigerian regulator established by the Nigeria Data Protection Act 2023 to enforce data protection, register controllers and issue directives.</t>
  </si>
  <si>
    <t xml:space="preserve">https://ndpc.gov.ng/</t>
  </si>
  <si>
    <t xml:space="preserve">Nigeria Data Protection Commission</t>
  </si>
  <si>
    <t xml:space="preserve">Issued the GAID 2025 (effective Sep 19, 2025). Oversees Compliance Audit Returns via licensed Data Protection Compliance Organisations and registration of data controllers of major importance.</t>
  </si>
  <si>
    <t xml:space="preserve">REG-014</t>
  </si>
  <si>
    <t xml:space="preserve">Information Regulator (South Africa)</t>
  </si>
  <si>
    <t xml:space="preserve">South African regulator enforcing POPIA and the Promotion of Access to Information Act, issuing guidance notes and enforcement notices.</t>
  </si>
  <si>
    <t xml:space="preserve">https://inforegulator.org.za/</t>
  </si>
  <si>
    <t xml:space="preserve">Information Regulator</t>
  </si>
  <si>
    <t xml:space="preserve">Runs an e-portal for security compromise (breach) notifications under POPIA s.22 and issues infringement and enforcement notices.</t>
  </si>
  <si>
    <t xml:space="preserve">REG-015</t>
  </si>
  <si>
    <t xml:space="preserve">Office of the Data Protection Commissioner (ODPC) Kenya</t>
  </si>
  <si>
    <t xml:space="preserve">Kenyan regulator under the Data Protection Act 2019 handling registration of controllers and processors, complaints, guidance and penalties.</t>
  </si>
  <si>
    <t xml:space="preserve">https://www.odpc.go.ke/</t>
  </si>
  <si>
    <t xml:space="preserve">Office of the Data Protection Commissioner</t>
  </si>
  <si>
    <t xml:space="preserve">Publishes determinations and penalty notices, guidance notes and the register of data controllers and processors.</t>
  </si>
  <si>
    <t xml:space="preserve">REG-016</t>
  </si>
  <si>
    <t xml:space="preserve">Office of the Privacy Commissioner of Canada (OPC)</t>
  </si>
  <si>
    <t xml:space="preserve">Canadian federal privacy oversight body for PIPEDA and the Privacy Act, publishing investigations, findings and guidance.</t>
  </si>
  <si>
    <t xml:space="preserve">https://www.priv.gc.ca/en/</t>
  </si>
  <si>
    <t xml:space="preserve">Office of the Privacy Commissioner of Canada</t>
  </si>
  <si>
    <t xml:space="preserve">Ombudsperson model without order-making or fining powers under PIPEDA. Publishes guidance on generative AI and breach reporting.</t>
  </si>
  <si>
    <t xml:space="preserve">REG-017</t>
  </si>
  <si>
    <t xml:space="preserve">Personal Data Protection Commission (PDPC) Singapore</t>
  </si>
  <si>
    <t xml:space="preserve">Singapore regulator administering the PDPA, issuing advisory guidelines, enforcement decisions and AI and data governance guidance.</t>
  </si>
  <si>
    <t xml:space="preserve">https://www.pdpc.gov.sg/</t>
  </si>
  <si>
    <t xml:space="preserve">Personal Data Protection Commission</t>
  </si>
  <si>
    <t xml:space="preserve">Publishes enforcement decisions and advisory guidelines, including on personal data in AI recommendation and decision systems (2024).</t>
  </si>
  <si>
    <t xml:space="preserve">REG-018</t>
  </si>
  <si>
    <t xml:space="preserve">Global Privacy Assembly (GPA)</t>
  </si>
  <si>
    <t xml:space="preserve">Global forum of data protection and privacy authorities that adopts resolutions and runs working groups on enforcement, AI and data sharing.</t>
  </si>
  <si>
    <t xml:space="preserve">https://globalprivacyassembly.com/</t>
  </si>
  <si>
    <t xml:space="preserve">Global Privacy Assembly</t>
  </si>
  <si>
    <t xml:space="preserve">Global</t>
  </si>
  <si>
    <t xml:space="preserve">Formerly the International Conference of Data Protection and Privacy Commissioners (renamed 2019). Annual assembly resolutions are a useful barometer of regulator priorities. Site now at globalprivacyassembly.com (.org redirects); 47th Assembly held in Seoul, 2025.</t>
  </si>
  <si>
    <t xml:space="preserve">REG-019</t>
  </si>
  <si>
    <t xml:space="preserve">Texas Attorney General - Consumer Privacy Enforcement</t>
  </si>
  <si>
    <t xml:space="preserve">Texas AG office enforcing TDPSA, TRAIGA, biometric (CUBI) and children's online privacy laws through investigations and lawsuits.</t>
  </si>
  <si>
    <t xml:space="preserve">https://www.texasattorneygeneral.gov/</t>
  </si>
  <si>
    <t xml:space="preserve">Office of the Texas Attorney General</t>
  </si>
  <si>
    <t xml:space="preserve">Obtained record privacy settlements with Meta ($1.4B, 2024) and Google ($1.375B, 2025). Exclusive enforcer of TRAIGA (effective Jan 1, 2026) with an online complaint portal.</t>
  </si>
  <si>
    <t xml:space="preserve">REG-020</t>
  </si>
  <si>
    <t xml:space="preserve">New York State Department of Financial Services (NYDFS)</t>
  </si>
  <si>
    <t xml:space="preserve">Cybersecurity; AI</t>
  </si>
  <si>
    <t xml:space="preserve">New York financial regulator enforcing the Part 500 cybersecurity regulation and issuing cyber and AI risk guidance to regulated entities.</t>
  </si>
  <si>
    <t xml:space="preserve">https://www.dfs.ny.gov/</t>
  </si>
  <si>
    <t xml:space="preserve">Active Part 500 enforcement with multi-million-dollar penalties. Issued 2024 guidance on AI-related cybersecurity risks. Annual compliance certifications due Apr 15.</t>
  </si>
  <si>
    <t xml:space="preserve">REG-021</t>
  </si>
  <si>
    <t xml:space="preserve">Brazil National Data Protection Agency (ANPD)</t>
  </si>
  <si>
    <t xml:space="preserve">Brazilian authority that regulates and enforces the LGPD, issuing regulations on sanctions, international transfers and data protection officers.</t>
  </si>
  <si>
    <t xml:space="preserve">https://www.gov.br/anpd/pt-br</t>
  </si>
  <si>
    <t xml:space="preserve">Autoridade Nacional de Protecao de Dados</t>
  </si>
  <si>
    <t xml:space="preserve">Site mainly in Portuguese. Now styled Agência Nacional de Proteção de Dados (agency status). Adopted international transfer regulation with standard contractual clauses (Res. CD/ANPD 19, Aug 23, 2024); recognized the EU as adequate (Res. 32/2026, Jan 2026).</t>
  </si>
  <si>
    <t xml:space="preserve">FRM-001</t>
  </si>
  <si>
    <t xml:space="preserve">NIST Cybersecurity Framework (CSF) 2.0</t>
  </si>
  <si>
    <t xml:space="preserve">Frameworks &amp; Standards</t>
  </si>
  <si>
    <t xml:space="preserve">frameworks</t>
  </si>
  <si>
    <t xml:space="preserve">Framework</t>
  </si>
  <si>
    <t xml:space="preserve">Voluntary framework of cybersecurity outcomes under six functions (Govern, Identify, Protect, Detect, Respond, Recover) for managing cyber risk.</t>
  </si>
  <si>
    <t xml:space="preserve">https://www.nist.gov/cyberframework</t>
  </si>
  <si>
    <t xml:space="preserve">NIST</t>
  </si>
  <si>
    <t xml:space="preserve">All</t>
  </si>
  <si>
    <t xml:space="preserve">Version 2.0 released Feb 26, 2024 (NIST CSWP 29); added the Govern function and widened scope beyond critical infrastructure. CSF 1.1 archived. Quick-start guides, profiles and informative references linked from the same page.</t>
  </si>
  <si>
    <t xml:space="preserve">FRM-002</t>
  </si>
  <si>
    <t xml:space="preserve">NIST Privacy Framework 1.0</t>
  </si>
  <si>
    <t xml:space="preserve">Voluntary tool for identifying and managing privacy risk, organized into a Core, Profiles and Implementation Tiers, designed to work with the NIST CSF.</t>
  </si>
  <si>
    <t xml:space="preserve">https://www.nist.gov/privacy-framework</t>
  </si>
  <si>
    <t xml:space="preserve">v1.0 (Jan 16, 2020) is the current final version. v1.1 Initial Public Draft (CSWP 40) released Apr 14, 2025, comments closed Jun 13, 2025; aligns Core with CSF 2.0 and adds AI privacy risk content. Final 1.1 not published as of Oct 2026.</t>
  </si>
  <si>
    <t xml:space="preserve">FRM-003</t>
  </si>
  <si>
    <t xml:space="preserve">NIST AI Risk Management Framework (AI RMF 1.0)</t>
  </si>
  <si>
    <t xml:space="preserve">Voluntary framework for managing risks of AI systems through four functions (Govern, Map, Measure, Manage) and defined characteristics of trustworthy AI.</t>
  </si>
  <si>
    <t xml:space="preserve">https://www.nist.gov/itl/ai-risk-management-framework</t>
  </si>
  <si>
    <t xml:space="preserve">AI RMF 1.0 (NIST AI 100-1) released Jan 26, 2023. NIST states it is being revised under the White House AI Action Plan. Companion Playbook and profiles (GenAI Profile, AI 600-1); critical infrastructure profile concept note Apr 2026.</t>
  </si>
  <si>
    <t xml:space="preserve">FRM-004</t>
  </si>
  <si>
    <t xml:space="preserve">NIST AI 600-1: Generative AI Profile</t>
  </si>
  <si>
    <t xml:space="preserve">Cross-sector AI RMF profile identifying 12 risks unique to or worsened by generative AI, with suggested actions for managing each one.</t>
  </si>
  <si>
    <t xml:space="preserve">https://nvlpubs.nist.gov/nistpubs/ai/NIST.AI.600-1.pdf</t>
  </si>
  <si>
    <t xml:space="preserve">Intermediate</t>
  </si>
  <si>
    <t xml:space="preserve">Download</t>
  </si>
  <si>
    <t xml:space="preserve">Published July 26, 2024 as a companion to AI RMF 1.0. Risk categories run from CBRN information or capabilities to value chain and component integration.</t>
  </si>
  <si>
    <t xml:space="preserve">FRM-005</t>
  </si>
  <si>
    <t xml:space="preserve">NIST SP 800-53 Rev. 5: Security and Privacy Controls</t>
  </si>
  <si>
    <t xml:space="preserve">Control set</t>
  </si>
  <si>
    <t xml:space="preserve">Catalog of security and privacy controls for information systems and organizations; baseline for US federal systems and FedRAMP, widely used elsewhere.</t>
  </si>
  <si>
    <t xml:space="preserve">https://csrc.nist.gov/pubs/sp/800/53/r5/upd1/final</t>
  </si>
  <si>
    <t xml:space="preserve">Advanced</t>
  </si>
  <si>
    <t xml:space="preserve">Rev. 5 final Sept 2020 (updated Dec 10, 2020). Latest catalog release 5.2.0 (Aug 27, 2025), a minor release adding SA-15(13), SA-24 and SI-02(07) and revising SI-07(12). Baselines are in SP 800-53B.</t>
  </si>
  <si>
    <t xml:space="preserve">FRM-006</t>
  </si>
  <si>
    <t xml:space="preserve">NIST SP 800-61 Rev. 3: Incident Response Recommendations</t>
  </si>
  <si>
    <t xml:space="preserve">NIST guidance for building incident response into cybersecurity risk management, structured as a CSF 2.0 Community Profile.</t>
  </si>
  <si>
    <t xml:space="preserve">https://csrc.nist.gov/pubs/sp/800/61/r3/final</t>
  </si>
  <si>
    <t xml:space="preserve">Final published Apr 3, 2025. Supersedes SP 800-61 Rev. 2 (2012) and its four-phase incident lifecycle by mapping incident response activities to CSF 2.0 functions.</t>
  </si>
  <si>
    <t xml:space="preserve">FRM-007</t>
  </si>
  <si>
    <t xml:space="preserve">ISO/IEC 27001:2022</t>
  </si>
  <si>
    <t xml:space="preserve">Standard</t>
  </si>
  <si>
    <t xml:space="preserve">Requirements for establishing, maintaining and improving an information security management system (ISMS); the basis for ISO 27001 certification.</t>
  </si>
  <si>
    <t xml:space="preserve">https://www.iso.org/standard/27001</t>
  </si>
  <si>
    <t xml:space="preserve">ISO/IEC</t>
  </si>
  <si>
    <t xml:space="preserve">Paid (CHF 155)</t>
  </si>
  <si>
    <t xml:space="preserve">Edition 3 published Oct 25, 2022; Annex A has 93 controls aligned to ISO/IEC 27002:2022. Amd 1:2024 adds climate action changes (free). Transition from the 2013 edition ended Oct 31, 2025. Details confirmed on committee.iso.org mirror.</t>
  </si>
  <si>
    <t xml:space="preserve">FRM-008</t>
  </si>
  <si>
    <t xml:space="preserve">ISO/IEC 27002:2022</t>
  </si>
  <si>
    <t xml:space="preserve">Reference set of 93 information security controls with implementation guidance, grouped into organizational, people, physical and technological themes.</t>
  </si>
  <si>
    <t xml:space="preserve">https://www.iso.org/standard/75652.html</t>
  </si>
  <si>
    <t xml:space="preserve">Paid (CHF 227)</t>
  </si>
  <si>
    <t xml:space="preserve">Edition 3 published Feb 2022; restructured the 2013 edition's 114 controls into 93 controls in four themes with attributes. Guidance companion to ISO/IEC 27001 Annex A.</t>
  </si>
  <si>
    <t xml:space="preserve">FRM-009</t>
  </si>
  <si>
    <t xml:space="preserve">ISO/IEC 27701:2025</t>
  </si>
  <si>
    <t xml:space="preserve">Requirements and guidance for a privacy information management system (PIMS) for PII controllers and processors; certifiable on its own.</t>
  </si>
  <si>
    <t xml:space="preserve">https://www.iso.org/standard/27701</t>
  </si>
  <si>
    <t xml:space="preserve">Paid (CHF 225)</t>
  </si>
  <si>
    <t xml:space="preserve">Edition 2 published Oct 2025, replacing ISO/IEC 27701:2019. Now a standalone management system standard rather than an extension of ISO/IEC 27001; adds guidance on personal data in AI systems. Certification transition set by accreditation bodies.</t>
  </si>
  <si>
    <t xml:space="preserve">FRM-010</t>
  </si>
  <si>
    <t xml:space="preserve">ISO/IEC 42001:2023</t>
  </si>
  <si>
    <t xml:space="preserve">Requirements for an AI management system (AIMS) covering responsible development, provision and use of AI systems; certifiable.</t>
  </si>
  <si>
    <t xml:space="preserve">https://www.iso.org/standard/42001</t>
  </si>
  <si>
    <t xml:space="preserve">Edition 1 published Dec 18, 2023; first certifiable AI management system standard, with AI controls in Annex A. No amendment listed as of Oct 2026. Price and date confirmed on IEC webstore.</t>
  </si>
  <si>
    <t xml:space="preserve">FRM-011</t>
  </si>
  <si>
    <t xml:space="preserve">ISO/IEC 23894:2023</t>
  </si>
  <si>
    <t xml:space="preserve">Guidance on managing risks specific to AI systems, adapting ISO 31000 risk management principles and processes to AI.</t>
  </si>
  <si>
    <t xml:space="preserve">https://www.iso.org/standard/77304.html</t>
  </si>
  <si>
    <t xml:space="preserve">Edition 1 published Feb 2023. Guidance standard (not certifiable); commonly used alongside ISO/IEC 42001.</t>
  </si>
  <si>
    <t xml:space="preserve">FRM-012</t>
  </si>
  <si>
    <t xml:space="preserve">ISO/IEC 29100:2024</t>
  </si>
  <si>
    <t xml:space="preserve">Privacy framework defining common terminology, actors and roles, and 11 privacy principles for protecting PII in ICT systems.</t>
  </si>
  <si>
    <t xml:space="preserve">https://www.iso.org/standard/85938.html</t>
  </si>
  <si>
    <t xml:space="preserve">Beginner</t>
  </si>
  <si>
    <t xml:space="preserve">Free (ISO lists CHF 0)</t>
  </si>
  <si>
    <t xml:space="preserve">Edition 2 published Feb 16, 2024; replaces ISO/IEC 29100:2011 and its 2018 amendment. Its principles underpin ISO/IEC 27701 and other ISO privacy standards. Details confirmed on committee.iso.org mirror.</t>
  </si>
  <si>
    <t xml:space="preserve">FRM-013</t>
  </si>
  <si>
    <t xml:space="preserve">ISO 31700-1:2023: Privacy by Design for Consumer Goods and Services</t>
  </si>
  <si>
    <t xml:space="preserve">High-level requirements for applying privacy by design to consumer goods and services across their lifecycle, with the consumer at the center.</t>
  </si>
  <si>
    <t xml:space="preserve">https://www.iso.org/standard/84977.html</t>
  </si>
  <si>
    <t xml:space="preserve">ISO</t>
  </si>
  <si>
    <t xml:space="preserve">Paid (CHF 196)</t>
  </si>
  <si>
    <t xml:space="preserve">Part 1 published Jan 31, 2023; companion ISO/TR 31700-2 gives use cases. Turns privacy-by-design concepts into auditable requirements. Details confirmed on committee.iso.org mirror.</t>
  </si>
  <si>
    <t xml:space="preserve">FRM-014</t>
  </si>
  <si>
    <t xml:space="preserve">AICPA Trust Services Criteria (SOC 2)</t>
  </si>
  <si>
    <t xml:space="preserve">AICPA criteria for security, availability, processing integrity, confidentiality and privacy, used to evaluate controls in SOC 2 attestation reports.</t>
  </si>
  <si>
    <t xml:space="preserve">https://www.aicpa-cima.com/resources/download/2017-trust-services-criteria-with-revised-points-of-focus-2022</t>
  </si>
  <si>
    <t xml:space="preserve">AICPA</t>
  </si>
  <si>
    <t xml:space="preserve">Free (AICPA &amp; CIMA account required)</t>
  </si>
  <si>
    <t xml:space="preserve">2017 TSC (TSP Section 100) with revised points of focus (2022); the criteria themselves are unchanged. PDF download from AICPA &amp; CIMA; the page asks you to create a free account. SOC 2 reports are issued by licensed CPA firms.</t>
  </si>
  <si>
    <t xml:space="preserve">FRM-015</t>
  </si>
  <si>
    <t xml:space="preserve">PCI DSS v4.0.1</t>
  </si>
  <si>
    <t xml:space="preserve">Security requirements for organizations that store, process or transmit payment card data, enforced through card brand compliance programs.</t>
  </si>
  <si>
    <t xml:space="preserve">https://www.pcisecuritystandards.org/document_library/</t>
  </si>
  <si>
    <t xml:space="preserve">PCI Security Standards Council</t>
  </si>
  <si>
    <t xml:space="preserve">v4.0.1 published June 11, 2024 as a limited revision of v4.0; v4.0 retired Dec 31, 2024. Future-dated requirements mandatory from Mar 31, 2025. Document library lists no newer version as of Oct 2026.</t>
  </si>
  <si>
    <t xml:space="preserve">FRM-016</t>
  </si>
  <si>
    <t xml:space="preserve">CIS Critical Security Controls v8.1</t>
  </si>
  <si>
    <t xml:space="preserve">Prioritized set of 18 controls and their safeguards, tiered into three Implementation Groups, for defending against common cyberattacks.</t>
  </si>
  <si>
    <t xml:space="preserve">https://www.cisecurity.org/controls</t>
  </si>
  <si>
    <t xml:space="preserve">Center for Internet Security (CIS)</t>
  </si>
  <si>
    <t xml:space="preserve">v8.1 released June 2024: added a Governance function, realigned mappings to NIST CSF 2.0, added asset classes. CIS has said it is working on v9; the controls page still shows v8.1 as of Oct 2026. Download requires registration.</t>
  </si>
  <si>
    <t xml:space="preserve">FRM-017</t>
  </si>
  <si>
    <t xml:space="preserve">MITRE ATT&amp;CK</t>
  </si>
  <si>
    <t xml:space="preserve">Knowledge base</t>
  </si>
  <si>
    <t xml:space="preserve">Curated knowledge base of adversary tactics and techniques observed in real-world attacks, used for threat modeling, detection engineering and red teaming.</t>
  </si>
  <si>
    <t xml:space="preserve">https://attack.mitre.org/</t>
  </si>
  <si>
    <t xml:space="preserve">MITRE</t>
  </si>
  <si>
    <t xml:space="preserve">Current version v20.0, released Oct 13, 2026 (v19.2 Apr 28, 2026; v18.1 Oct 28, 2025). Major releases come twice a year. Data available in STIX 2.1 and via the ATT&amp;CK Navigator.</t>
  </si>
  <si>
    <t xml:space="preserve">FRM-018</t>
  </si>
  <si>
    <t xml:space="preserve">MITRE ATLAS</t>
  </si>
  <si>
    <t xml:space="preserve">AI; Cybersecurity</t>
  </si>
  <si>
    <t xml:space="preserve">Knowledge base of adversary tactics, techniques and case studies targeting AI and machine learning systems, modeled on MITRE ATT&amp;CK.</t>
  </si>
  <si>
    <t xml:space="preserve">https://atlas.mitre.org/</t>
  </si>
  <si>
    <t xml:space="preserve">Site is a JavaScript app; fetch returned the page title only, so the current data release could not be confirmed. URL is linked from MITRE's own site. Data also published as the open-source atlas-data repository.</t>
  </si>
  <si>
    <t xml:space="preserve">FRM-019</t>
  </si>
  <si>
    <t xml:space="preserve">OWASP Top 10 for LLM Applications 2026</t>
  </si>
  <si>
    <t xml:space="preserve">Ranked list of the ten most critical security risks in large language model applications, with mitigations, from the OWASP GenAI Security Project.</t>
  </si>
  <si>
    <t xml:space="preserve">https://genai.owasp.org/resource/owasp-genai-llm-top-10-2026/</t>
  </si>
  <si>
    <t xml:space="preserve">OWASP Foundation (GenAI Security Project)</t>
  </si>
  <si>
    <t xml:space="preserve">2026 edition: resource page dated Aug 3, 2026; formal announcement Sept 1-2, 2026. Supersedes the 2025 edition; Excessive Agency moved up to #3. Licensed CC BY-SA 4.0.</t>
  </si>
  <si>
    <t xml:space="preserve">FRM-020</t>
  </si>
  <si>
    <t xml:space="preserve">OWASP Top 10 for Agentic Applications 2026</t>
  </si>
  <si>
    <t xml:space="preserve">Peer-reviewed list of the ten most critical security risks for autonomous AI agents that plan and act across tools and workflows, with mitigations.</t>
  </si>
  <si>
    <t xml:space="preserve">https://genai.owasp.org/resource/owasp-top-10-for-agentic-applications/</t>
  </si>
  <si>
    <t xml:space="preserve">Released Dec 9, 2025 by the OWASP GenAI Security Project with 100+ contributors. Complements the LLM Top 10 for agent-based systems. Licensed CC BY-SA 4.0.</t>
  </si>
  <si>
    <t xml:space="preserve">FRM-021</t>
  </si>
  <si>
    <t xml:space="preserve">OWASP Top 10:2025 (Web Application Security Risks)</t>
  </si>
  <si>
    <t xml:space="preserve">Awareness document listing the ten most critical web application security risks, used as a baseline for secure development and testing.</t>
  </si>
  <si>
    <t xml:space="preserve">https://owasp.org/Top10/2025/</t>
  </si>
  <si>
    <t xml:space="preserve">OWASP Foundation</t>
  </si>
  <si>
    <t xml:space="preserve">2025 edition released Nov 6, 2025 (feedback window to Nov 20, 2025); replaces the 2021 list. New categories: A03 Software Supply Chain Failures and A10 Mishandling of Exceptional Conditions.</t>
  </si>
  <si>
    <t xml:space="preserve">FRM-022</t>
  </si>
  <si>
    <t xml:space="preserve">OECD AI Principles</t>
  </si>
  <si>
    <t xml:space="preserve">Principles</t>
  </si>
  <si>
    <t xml:space="preserve">AI; Tech Law</t>
  </si>
  <si>
    <t xml:space="preserve">Intergovernmental principles for trustworthy, human-centric AI: five values-based principles and five recommendations for policymakers.</t>
  </si>
  <si>
    <t xml:space="preserve">https://oecd.ai/en/ai-principles</t>
  </si>
  <si>
    <t xml:space="preserve">OECD</t>
  </si>
  <si>
    <t xml:space="preserve">Adopted May 2019 as the OECD Recommendation on AI; updated May 2024 to address general-purpose and generative AI. 47 adherents as of Oct 2026. Its definitions influenced the EU AI Act and G20 AI Principles.</t>
  </si>
  <si>
    <t xml:space="preserve">FRM-023</t>
  </si>
  <si>
    <t xml:space="preserve">UNESCO Recommendation on the Ethics of Artificial Intelligence</t>
  </si>
  <si>
    <t xml:space="preserve">Global standard-setting instrument on AI ethics adopted by UNESCO member states, setting out values, principles and policy action areas.</t>
  </si>
  <si>
    <t xml:space="preserve">https://www.unesco.org/en/artificial-intelligence/recommendation-ethics</t>
  </si>
  <si>
    <t xml:space="preserve">UNESCO</t>
  </si>
  <si>
    <t xml:space="preserve">Adopted Nov 2021 by all 193 UNESCO Member States. Full text on UNESDOC in several languages. Linked to UNESCO's Global AI Ethics and Governance Observatory (unesco.org/ethics-ai), which tracks country readiness assessments.</t>
  </si>
  <si>
    <t xml:space="preserve">FRM-024</t>
  </si>
  <si>
    <t xml:space="preserve">Fair Information Practice Principles (FIPPs)</t>
  </si>
  <si>
    <t xml:space="preserve">Nine widely accepted principles US federal agencies use to evaluate systems, programs and activities that affect individual privacy.</t>
  </si>
  <si>
    <t xml:space="preserve">https://www.fpc.gov/resources/fipps</t>
  </si>
  <si>
    <t xml:space="preserve">Federal Privacy Council</t>
  </si>
  <si>
    <t xml:space="preserve">Traces to the 1973 HEW report 'Records, Computers and the Rights of Citizens'; also set out in OMB Circular A-130. The page says FPC site content moves to councils.gov/fpc from Mar 30, 2026; update the link if it breaks.</t>
  </si>
  <si>
    <t xml:space="preserve">FRM-025</t>
  </si>
  <si>
    <t xml:space="preserve">HITRUST CSF</t>
  </si>
  <si>
    <t xml:space="preserve">Certifiable control framework that harmonizes 60+ authoritative sources such as HIPAA, ISO 27001, NIST and PCI DSS; widely used in US healthcare.</t>
  </si>
  <si>
    <t xml:space="preserve">https://hitrustalliance.net/hitrust-framework</t>
  </si>
  <si>
    <t xml:space="preserve">HITRUST Alliance</t>
  </si>
  <si>
    <t xml:space="preserve">Freemium</t>
  </si>
  <si>
    <t xml:space="preserve">HITRUST site links to CSF v11.9 as current (Oct 2026); v11.8.0 became the required version for new e1/i1 assessments in May 2026. Includes AI Security and AI Risk Management assessments. Framework download is free; assessments are paid.</t>
  </si>
  <si>
    <t xml:space="preserve">FRM-026</t>
  </si>
  <si>
    <t xml:space="preserve">CSA Cloud Controls Matrix (CCM) v4.1</t>
  </si>
  <si>
    <t xml:space="preserve">Cloud security control framework of 207 controls in 17 domains, mapped to major standards and used for CSA STAR assurance.</t>
  </si>
  <si>
    <t xml:space="preserve">https://cloudsecurityalliance.org/artifacts/cloud-controls-matrix-v4-1</t>
  </si>
  <si>
    <t xml:space="preserve">Cloud Security Alliance</t>
  </si>
  <si>
    <t xml:space="preserve">v4.1 released Jan 27-28, 2026, with 11 new controls and CAIQ v4.1. STAR accepts v4.0 and v4.1 until Dec 2027; v4.0.x withdrawn Jan 2028. Free download; account optional.</t>
  </si>
  <si>
    <t xml:space="preserve">FRM-027</t>
  </si>
  <si>
    <t xml:space="preserve">CSA AI Controls Matrix (AICM) v1.1</t>
  </si>
  <si>
    <t xml:space="preserve">Control framework for trustworthy AI and cloud: 247 control objectives in 18 domains, mapped to ISO 42001, the EU AI Act and NIST AI RMF.</t>
  </si>
  <si>
    <t xml:space="preserve">https://cloudsecurityalliance.org/artifacts/ai-controls-matrix-v1-1</t>
  </si>
  <si>
    <t xml:space="preserve">v1.1 dated June 22, 2026. Also maps to NIST AI 600-1, ISO 27001, BSI AIC4 and AIUC-1. Free download with a CSA account. Extends the CCM approach to AI systems.</t>
  </si>
  <si>
    <t xml:space="preserve">FRM-028</t>
  </si>
  <si>
    <t xml:space="preserve">COBIT 2019</t>
  </si>
  <si>
    <t xml:space="preserve">General; Cybersecurity</t>
  </si>
  <si>
    <t xml:space="preserve">ISACA framework for governance and management of enterprise information and technology, built on 40 governance and management objectives.</t>
  </si>
  <si>
    <t xml:space="preserve">https://www.isaca.org/resources/cobit</t>
  </si>
  <si>
    <t xml:space="preserve">ISACA</t>
  </si>
  <si>
    <t xml:space="preserve">Paid (ISACA store; member discounts)</t>
  </si>
  <si>
    <t xml:space="preserve">COBIT 2019 is still the current release per ISACA (Oct 2026). Design and Implementation Guides support tailoring; COBIT certificates offered. Pricing not shown on the page.</t>
  </si>
  <si>
    <t xml:space="preserve">FRM-029</t>
  </si>
  <si>
    <t xml:space="preserve">IEEE 7000-2021: Addressing Ethical Concerns During System Design</t>
  </si>
  <si>
    <t xml:space="preserve">AI; General</t>
  </si>
  <si>
    <t xml:space="preserve">IEEE model process for identifying and addressing ethical values and concerns during system design, known as value-based engineering.</t>
  </si>
  <si>
    <t xml:space="preserve">https://standards.ieee.org/ieee/7000/6781/</t>
  </si>
  <si>
    <t xml:space="preserve">IEEE Standards Association</t>
  </si>
  <si>
    <t xml:space="preserve">Free via IEEE GET Program</t>
  </si>
  <si>
    <t xml:space="preserve">Published 15 Sept 2021; Active. PDF free through the IEEE GET Program. Adopted internationally as IEEE/ISO/IEC 24748-7000:2022. Anchor of the IEEE 7000 series; related: IEEE 7001 (transparency), IEEE 7002-2022 (data privacy process).</t>
  </si>
  <si>
    <t xml:space="preserve">FRM-030</t>
  </si>
  <si>
    <t xml:space="preserve">IOPD Design Process Standard v1.0</t>
  </si>
  <si>
    <t xml:space="preserve">Process standard from the Institute of Operational Privacy Design for building privacy risk management into product and service design.</t>
  </si>
  <si>
    <t xml:space="preserve">https://instituteofprivacydesign.org/standards/</t>
  </si>
  <si>
    <t xml:space="preserve">Institute of Operational Privacy Design (IOPD)</t>
  </si>
  <si>
    <t xml:space="preserve">v1.0 (Jan 2023) is still the current version; free PDF, no registration (licence terms not stated). IOPD Standards page also offers the companion Design Assurance Standard v1.0 (Mar 2025). Announcement: instituteofprivacydesign.org/2023/01/12/introducing-the-design-process-standard-v-1-0/</t>
  </si>
  <si>
    <t xml:space="preserve">CRT-001</t>
  </si>
  <si>
    <t xml:space="preserve">CIPP/US – Certified Information Privacy Professional/United States</t>
  </si>
  <si>
    <t xml:space="preserve">Certifications</t>
  </si>
  <si>
    <t xml:space="preserve">certifications</t>
  </si>
  <si>
    <t xml:space="preserve">Certification</t>
  </si>
  <si>
    <t xml:space="preserve">Covers US federal and state privacy laws, regulators and data-handling rules; suits lawyers, compliance and privacy staff working with US data.</t>
  </si>
  <si>
    <t xml:space="preserve">https://www.iapp.org/certify/cippus</t>
  </si>
  <si>
    <t xml:space="preserve">IAPP</t>
  </si>
  <si>
    <t xml:space="preserve">US$550 exam (members and non-members)</t>
  </si>
  <si>
    <t xml:space="preserve">Exam (online or test center)</t>
  </si>
  <si>
    <t xml:space="preserve">Fee as of Oct 2026 (IAPP store). 90 questions, 2.5 hrs, Pearson VUE online or test center. Retake or additional IAPP exam US$375. 20 CPE per 2 years plus US$250 fee (waived for IAPP members).</t>
  </si>
  <si>
    <t xml:space="preserve">CRT-002</t>
  </si>
  <si>
    <t xml:space="preserve">CIPP/E – Certified Information Privacy Professional/Europe</t>
  </si>
  <si>
    <t xml:space="preserve">Covers GDPR and wider European data protection law, cross-border transfers and enforcement; suits privacy lawyers and DPO-track professionals.</t>
  </si>
  <si>
    <t xml:space="preserve">https://www.iapp.org/certify/cippe</t>
  </si>
  <si>
    <t xml:space="preserve">Fee as of Oct 2026 (IAPP store). 90 questions. ANAB-accredited (ISO/IEC 17024). Also offered in French and German. 20 CPE per 2 years plus US$250 fee (waived for IAPP members).</t>
  </si>
  <si>
    <t xml:space="preserve">CRT-003</t>
  </si>
  <si>
    <t xml:space="preserve">CIPP/C – Certified Information Privacy Professional/Canada</t>
  </si>
  <si>
    <t xml:space="preserve">Covers Canadian federal, provincial and territorial privacy law and practice; suits privacy and compliance staff handling Canadian personal data.</t>
  </si>
  <si>
    <t xml:space="preserve">https://www.iapp.org/certify/cippc</t>
  </si>
  <si>
    <t xml:space="preserve">US$550 exam</t>
  </si>
  <si>
    <t xml:space="preserve">IAPP's standard exam fee is US$550 (Oct 2026); CIPP/C store page itself not checked. 20 CPE per 2 years plus US$250 fee (waived for IAPP members).</t>
  </si>
  <si>
    <t xml:space="preserve">CRT-004</t>
  </si>
  <si>
    <t xml:space="preserve">CIPP/A – Certified Information Privacy Professional/Asia</t>
  </si>
  <si>
    <t xml:space="preserve">Covers privacy laws and practices across major Asian economies; suits privacy and compliance professionals with operations in Asia.</t>
  </si>
  <si>
    <t xml:space="preserve">https://www.iapp.org/certify/cippa</t>
  </si>
  <si>
    <t xml:space="preserve">Asia</t>
  </si>
  <si>
    <t xml:space="preserve">Fee as of Oct 2026 (IAPP store). 90 questions, 2.5 hrs. IAPP now also lists CIPP/AU (Australia) and CIPP/CN (China). 20 CPE per 2 years plus US$250 fee (waived for IAPP members).</t>
  </si>
  <si>
    <t xml:space="preserve">CRT-005</t>
  </si>
  <si>
    <t xml:space="preserve">CIPM – Certified Information Privacy Manager</t>
  </si>
  <si>
    <t xml:space="preserve">Covers building and running a privacy program: governance, policies, assessments, metrics and incident response; suits privacy program managers.</t>
  </si>
  <si>
    <t xml:space="preserve">https://www.iapp.org/certify/cipm</t>
  </si>
  <si>
    <t xml:space="preserve">Fee as of Oct 2026 (IAPP store). 90 questions. Body of Knowledge v4.2.0 effective Sept 2025. Counts toward FIP and Privacy Law Specialist. 20 CPE per 2 years plus US$250 fee (waived for IAPP members).</t>
  </si>
  <si>
    <t xml:space="preserve">CRT-006</t>
  </si>
  <si>
    <t xml:space="preserve">CIPT – Certified Information Privacy Technologist</t>
  </si>
  <si>
    <t xml:space="preserve">Covers privacy by design and technical privacy controls in products and systems; suits engineers, architects and IT staff working on privacy.</t>
  </si>
  <si>
    <t xml:space="preserve">https://www.iapp.org/certify/cipt</t>
  </si>
  <si>
    <t xml:space="preserve">Fee as of Oct 2026 (IAPP store). 90 questions, 2.5 hrs. ANAB-accredited. 20 CPE per 2 years plus US$250 fee (waived for IAPP members).</t>
  </si>
  <si>
    <t xml:space="preserve">CRT-007</t>
  </si>
  <si>
    <t xml:space="preserve">AIGP – Artificial Intelligence Governance Professional</t>
  </si>
  <si>
    <t xml:space="preserve">AI; Privacy; Tech Law</t>
  </si>
  <si>
    <t xml:space="preserve">Covers AI governance: AI lifecycle risks, responsible AI principles, and how laws and frameworks apply to AI; suits privacy, legal and risk staff.</t>
  </si>
  <si>
    <t xml:space="preserve">https://www.iapp.org/certify/aigp</t>
  </si>
  <si>
    <t xml:space="preserve">US$649 exam (members), US$799 (non-members)</t>
  </si>
  <si>
    <t xml:space="preserve">Fees as of Oct 2026 (IAPP store). 100 questions, 2.75 hrs, Pearson VUE online or test center. Retake US$475 (Dec 2025 source). 20 CPE per 2 years plus US$250 fee (waived for IAPP members).</t>
  </si>
  <si>
    <t xml:space="preserve">CRT-008</t>
  </si>
  <si>
    <t xml:space="preserve">FIP – Fellow of Information Privacy</t>
  </si>
  <si>
    <t xml:space="preserve">IAPP's senior designation for privacy professionals who hold a CIPP plus a CIPM, CIPT or AIGP and have three years of substantial privacy work.</t>
  </si>
  <si>
    <t xml:space="preserve">https://iapp.org/certify/fip/</t>
  </si>
  <si>
    <t xml:space="preserve">No added fee once the two required IAPP credentials are held</t>
  </si>
  <si>
    <t xml:space="preserve">As of Oct 2026: CIPP + CIPM, CIPT or AIGP; 3 years with privacy at least 50% of the job; 3 peer references; personal statement. Review takes about 4 weeks. Underlying credentials must stay current.</t>
  </si>
  <si>
    <t xml:space="preserve">CRT-009</t>
  </si>
  <si>
    <t xml:space="preserve">PLS – Privacy Law Specialist</t>
  </si>
  <si>
    <t xml:space="preserve">ABA-accredited specialty designation from IAPP for US-licensed attorneys who practice privacy law; builds on CIPP/US plus CIPM or CIPT.</t>
  </si>
  <si>
    <t xml:space="preserve">https://www.iapp.org/certify/privacy-law-specialist</t>
  </si>
  <si>
    <t xml:space="preserve">US$50 application fee</t>
  </si>
  <si>
    <t xml:space="preserve">As of Oct 2026: admitted US attorney; CIPP/US + CIPM or CIPT; PLS ethics exam or MPRE score of 80+; privacy work at least 25% of practice over 3 years; 36 hrs privacy CLE in 3 years; 5 peer references.</t>
  </si>
  <si>
    <t xml:space="preserve">CRT-010</t>
  </si>
  <si>
    <t xml:space="preserve">CDPSE – Certified Data Privacy Solutions Engineer</t>
  </si>
  <si>
    <t xml:space="preserve">Covers privacy governance, privacy risk and compliance, data lifecycle management and privacy engineering; suits technical staff building privacy into systems.</t>
  </si>
  <si>
    <t xml:space="preserve">https://www.isaca.org/credentialing/cdpse</t>
  </si>
  <si>
    <t xml:space="preserve">US$575 exam (members), US$760 (non-members)</t>
  </si>
  <si>
    <t xml:space="preserve">Fees as of Oct 2026 (ISACA). Plus US$50 application fee; apply within 5 years of passing. Work experience in CDPSE domains required (see ISACA). PSI test center or remote proctoring. CPE and annual maintenance fee apply.</t>
  </si>
  <si>
    <t xml:space="preserve">CRT-011</t>
  </si>
  <si>
    <t xml:space="preserve">CISA – Certified Information Systems Auditor</t>
  </si>
  <si>
    <t xml:space="preserve">Covers IT audit, control assessment and assurance of information systems; suits IT auditors and compliance professionals.</t>
  </si>
  <si>
    <t xml:space="preserve">https://www.isaca.org/credentialing/cisa</t>
  </si>
  <si>
    <t xml:space="preserve">Fees as of Oct 2026 (ISACA). Plus US$50 application fee. 5 years of IS audit, control or security experience (waivers available). 120 CPE per 3 years (20/yr); annual fee US$45 members, US$85 non-members.</t>
  </si>
  <si>
    <t xml:space="preserve">CRT-012</t>
  </si>
  <si>
    <t xml:space="preserve">CISM – Certified Information Security Manager</t>
  </si>
  <si>
    <t xml:space="preserve">Covers information security governance, risk management, security program development and incident management; suits security managers.</t>
  </si>
  <si>
    <t xml:space="preserve">https://www.isaca.org/credentialing/cism</t>
  </si>
  <si>
    <t xml:space="preserve">Fees as of Oct 2026 (ISACA). Plus US$50 application fee. 5 years of security experience, 3 in management (waivers available). 120 CPE per 3 years (20/yr); annual fee US$45 members, US$85 non-members.</t>
  </si>
  <si>
    <t xml:space="preserve">CRT-013</t>
  </si>
  <si>
    <t xml:space="preserve">CRISC – Certified in Risk and Information Systems Control</t>
  </si>
  <si>
    <t xml:space="preserve">Covers IT risk identification, assessment, response and control monitoring; suits risk, compliance and control professionals.</t>
  </si>
  <si>
    <t xml:space="preserve">https://www.isaca.org/credentialing/crisc</t>
  </si>
  <si>
    <t xml:space="preserve">Fees as of Oct 2026 (ISACA). Plus US$50 application fee. 3 years of IT risk and control experience. 120 CPE per 3 years (20/yr); annual fee US$45 members, US$85 non-members.</t>
  </si>
  <si>
    <t xml:space="preserve">CRT-014</t>
  </si>
  <si>
    <t xml:space="preserve">AAIA – ISACA Advanced in AI Audit</t>
  </si>
  <si>
    <t xml:space="preserve">Covers auditing AI systems, AI governance and AI-related risks and controls; for experienced auditors who already hold CISA or a qualifying credential.</t>
  </si>
  <si>
    <t xml:space="preserve">https://www.isaca.org/credentialing/aaia</t>
  </si>
  <si>
    <t xml:space="preserve">US$459 exam (members), US$599 (non-members)</t>
  </si>
  <si>
    <t xml:space="preserve">Fees as of Oct 2026 (ISACA). Requires active CISA, or CIA, CPA, ACCA and similar with an IT audit focus. US$50 application fee. PSI test center or remote (test center only in India, mainland China, Hong Kong).</t>
  </si>
  <si>
    <t xml:space="preserve">CRT-015</t>
  </si>
  <si>
    <t xml:space="preserve">AAISM – ISACA Advanced in AI Security Management</t>
  </si>
  <si>
    <t xml:space="preserve">Covers AI security governance, AI risk management and AI security controls; for security managers who already hold CISM or CISSP.</t>
  </si>
  <si>
    <t xml:space="preserve">https://www.isaca.org/credentialing/aaism</t>
  </si>
  <si>
    <t xml:space="preserve">Fees as of Oct 2026 (ISACA). Requires active CISM or CISSP. US$50 application fee. 30 CPE per 3 years (10/yr); annual fee US$20 members, US$35 non-members (Sept 2026 source).</t>
  </si>
  <si>
    <t xml:space="preserve">CRT-016</t>
  </si>
  <si>
    <t xml:space="preserve">AAIR – ISACA Advanced in AI Risk</t>
  </si>
  <si>
    <t xml:space="preserve">Covers identifying, assessing and managing AI risk across the risk lifecycle; for IT risk professionals who hold CRISC or another qualifying credential.</t>
  </si>
  <si>
    <t xml:space="preserve">https://www.isaca.org/credentialing/aair</t>
  </si>
  <si>
    <t xml:space="preserve">Launched Apr 2026. Fees as of Oct 2026 (ISACA). Needs one of 25 qualifying credentials (e.g., CRISC, CISA, CISM, CISSP, CIA). US$50 application fee. ISACA's AAIG (AI governance) was in closed beta in Oct 2026.</t>
  </si>
  <si>
    <t xml:space="preserve">CRT-017</t>
  </si>
  <si>
    <t xml:space="preserve">CC – ISC2 Certified in Cybersecurity</t>
  </si>
  <si>
    <t xml:space="preserve">Entry-level credential covering security principles, access control, network security and security operations; no work experience required.</t>
  </si>
  <si>
    <t xml:space="preserve">https://www.isc2.org/certifications/cc</t>
  </si>
  <si>
    <t xml:space="preserve">ISC2</t>
  </si>
  <si>
    <t xml:space="preserve">US$199 exam</t>
  </si>
  <si>
    <t xml:space="preserve">In person</t>
  </si>
  <si>
    <t xml:space="preserve">Fee as of Oct 2026 (ISC2 Americas pricing). Pearson VUE test centers; check ISC2 for online proctoring. AMF US$50/yr; 45 CPE per 3 years. ISC2 has run a free CC training/exam pledge; confirm current availability.</t>
  </si>
  <si>
    <t xml:space="preserve">CRT-018</t>
  </si>
  <si>
    <t xml:space="preserve">CISSP – Certified Information Systems Security Professional</t>
  </si>
  <si>
    <t xml:space="preserve">Covers eight security domains from risk management to software security; suits experienced security practitioners, managers and architects.</t>
  </si>
  <si>
    <t xml:space="preserve">https://www.isc2.org/certifications/cissp</t>
  </si>
  <si>
    <t xml:space="preserve">US$749 exam</t>
  </si>
  <si>
    <t xml:space="preserve">Fee as of Oct 2026 (ISC2 Americas). 5 years' paid experience in 2+ domains (1-year waiver possible), else Associate of ISC2. Adaptive exam in English at Pearson VUE. 120 CPE per 3 years; AMF US$135/yr.</t>
  </si>
  <si>
    <t xml:space="preserve">CRT-019</t>
  </si>
  <si>
    <t xml:space="preserve">CCSP – Certified Cloud Security Professional</t>
  </si>
  <si>
    <t xml:space="preserve">Cybersecurity; Tech Law</t>
  </si>
  <si>
    <t xml:space="preserve">Covers cloud architecture, cloud data security, platform and application security, operations, and cloud legal, risk and compliance.</t>
  </si>
  <si>
    <t xml:space="preserve">https://www.isc2.org/certifications/ccsp</t>
  </si>
  <si>
    <t xml:space="preserve">US$599 exam</t>
  </si>
  <si>
    <t xml:space="preserve">Fee as of Oct 2026 (ISC2 Americas). 5 years IT experience incl. 3 in security and 1 in a CCSP domain (CSA CCSK can substitute 1 year; CISSP covers all). 120 CPE per 3 years; AMF US$135/yr.</t>
  </si>
  <si>
    <t xml:space="preserve">CRT-020</t>
  </si>
  <si>
    <t xml:space="preserve">CGRC – ISC2 Governance, Risk and Compliance Certification</t>
  </si>
  <si>
    <t xml:space="preserve">Covers authorizing and maintaining information systems under risk frameworks such as NIST RMF; suits GRC and compliance professionals.</t>
  </si>
  <si>
    <t xml:space="preserve">https://www.isc2.org/certifications/cgrc</t>
  </si>
  <si>
    <t xml:space="preserve">Fee as of Oct 2026 (ISC2 Americas). Formerly CAP (renamed 2023). Requires 2 years' experience in a CGRC domain. 120 CPE per 3 years; AMF US$135/yr.</t>
  </si>
  <si>
    <t xml:space="preserve">CRT-021</t>
  </si>
  <si>
    <t xml:space="preserve">CompTIA Security+</t>
  </si>
  <si>
    <t xml:space="preserve">Entry-level, vendor-neutral exam covering threats, security architecture, operations and governance basics; a common first security credential.</t>
  </si>
  <si>
    <t xml:space="preserve">https://www.comptia.org/en-us/certifications/security/v7/</t>
  </si>
  <si>
    <t xml:space="preserve">CompTIA</t>
  </si>
  <si>
    <t xml:space="preserve">US$439 exam voucher</t>
  </si>
  <si>
    <t xml:space="preserve">Exam SY0-701 (V7): max 90 questions, 90 min; English exam retires June 11, 2027. CompTIA says Security+ V8 launches Nov 2026, so update the link then. Price not shown on CompTIA pages; US$439 per reseller listings Oct 2026. Renew every 3 years (50 CEUs).</t>
  </si>
  <si>
    <t xml:space="preserve">CRT-022</t>
  </si>
  <si>
    <t xml:space="preserve">CompTIA CySA+ – Cybersecurity Analyst</t>
  </si>
  <si>
    <t xml:space="preserve">Intermediate exam on security operations, threat detection, vulnerability management and incident response; suits SOC and security analyst roles.</t>
  </si>
  <si>
    <t xml:space="preserve">https://www.comptia.org/en-us/certifications/cybersecurity-analyst/</t>
  </si>
  <si>
    <t xml:space="preserve">Covers V4 (CS0-004, launched June 23, 2026; max 85 questions, 165 min) and retiring V3 (CS0-003; English exam ends Dec 22, 2026). Price not shown on CompTIA pages; US$439 was a 2026 reseller price for CS0-003, so verify. About 4 years' SOC or vulnerability-analyst experience recommended.</t>
  </si>
  <si>
    <t xml:space="preserve">CRT-023</t>
  </si>
  <si>
    <t xml:space="preserve">CompTIA SecurityX (formerly CASP+)</t>
  </si>
  <si>
    <t xml:space="preserve">Advanced exam on security architecture, engineering, operations and GRC for senior practitioners; CompTIA's renamed successor to CASP+.</t>
  </si>
  <si>
    <t xml:space="preserve">https://www.comptia.org/en-us/certifications/securityx/</t>
  </si>
  <si>
    <t xml:space="preserve">US$544 exam voucher</t>
  </si>
  <si>
    <t xml:space="preserve">Exam CAS-005: max 90 questions, 165 min, pass/fail. Recommended 10 years IT incl. 5 in security. Price per a 2026 reseller listing; CompTIA page shows no price. Renamed from CASP+ in 2024.</t>
  </si>
  <si>
    <t xml:space="preserve">CRT-024</t>
  </si>
  <si>
    <t xml:space="preserve">GSEC – GIAC Security Essentials</t>
  </si>
  <si>
    <t xml:space="preserve">Covers core security skills across networks, endpoints and cloud; suits practitioners moving beyond entry level. Aligned with SANS SEC401.</t>
  </si>
  <si>
    <t xml:space="preserve">https://www.sans.org/cyber-security-certifications/security-essentials-gsec</t>
  </si>
  <si>
    <t xml:space="preserve">GIAC (SANS)</t>
  </si>
  <si>
    <t xml:space="preserve">Paid</t>
  </si>
  <si>
    <t xml:space="preserve">106 questions, 4 hrs, 72% to pass. Attempt price not shown on page (Oct 2026); check giac.org. SEC401 prep is US$8,780. Renews every 4 years with CPEs and a fee. GIAC page: giac.org/certifications/security-essentials-gsec/</t>
  </si>
  <si>
    <t xml:space="preserve">CRT-026</t>
  </si>
  <si>
    <t xml:space="preserve">CEH – Certified Ethical Hacker</t>
  </si>
  <si>
    <t xml:space="preserve">Covers ethical hacking tools and techniques across reconnaissance, system, web and cloud attacks; suits early-career penetration testers and analysts.</t>
  </si>
  <si>
    <t xml:space="preserve">https://www.eccouncil.org/train-certify/certified-ethical-hacker-ceh/</t>
  </si>
  <si>
    <t xml:space="preserve">EC-Council</t>
  </si>
  <si>
    <t xml:space="preserve">CEH v13 is current (Oct 2026). Knowledge exam: 125 multiple-choice questions, 4 hrs; optional 6-hr practical leads to CEH Master. Eligibility: official training, or a US$100 application with about 2 years' IT security experience. Training from US$1,699.</t>
  </si>
  <si>
    <t xml:space="preserve">CRT-027</t>
  </si>
  <si>
    <t xml:space="preserve">OSCP+ – OffSec Certified Professional</t>
  </si>
  <si>
    <t xml:space="preserve">Hands-on penetration testing credential earned through a proctored practical exam after OffSec's PEN-200 course; suits aspiring pentesters.</t>
  </si>
  <si>
    <t xml:space="preserve">https://www.offsec.com/courses/pen-200/</t>
  </si>
  <si>
    <t xml:space="preserve">OffSec</t>
  </si>
  <si>
    <t xml:space="preserve">US$1,749 (PEN-200 course + exam bundle)</t>
  </si>
  <si>
    <t xml:space="preserve">Passing grants OSCP+ (valid 3 years) plus lifetime OSCP. 24-hour proctored exam: 3 standalone machines plus an AD set. Also sold as Learn One (US$2,749/yr, 2 attempts) or standalone exam (US$1,699, offsec.com/products/oscp-plus/). Prices Oct 2026.</t>
  </si>
  <si>
    <t xml:space="preserve">CRT-028</t>
  </si>
  <si>
    <t xml:space="preserve">PECB ISO/IEC 27001 Lead Implementer / Lead Auditor</t>
  </si>
  <si>
    <t xml:space="preserve">Covers implementing (LI) or auditing (LA) an ISO/IEC 27001 information security management system; suits ISMS leads, consultants and auditors.</t>
  </si>
  <si>
    <t xml:space="preserve">https://pecb.com/en/education-and-certification-for-individuals/iso-iec-27001/iso-iec-27001-lead-implementer</t>
  </si>
  <si>
    <t xml:space="preserve">PECB</t>
  </si>
  <si>
    <t xml:space="preserve">Lead Auditor: pecb.com/en/education-and-certification-for-individuals/iso-iec-27001/iso-iec-27001-lead-auditor. 5-day course incl. exam; exam and certificate fees are included in the partner's course price. Full LI title: 5 yrs' experience incl. 2 in ISMS, plus 300 hrs of ISMS project work.</t>
  </si>
  <si>
    <t xml:space="preserve">CRT-029</t>
  </si>
  <si>
    <t xml:space="preserve">PECB ISO/IEC 27701 Lead Implementer</t>
  </si>
  <si>
    <t xml:space="preserve">Covers implementing a privacy information management system (PIMS) under ISO/IEC 27701; suits privacy and security program leads.</t>
  </si>
  <si>
    <t xml:space="preserve">https://pecb.com/en/education-and-certification-for-individuals/iso-iec-27701/iso-iec-27701-lead-implementer</t>
  </si>
  <si>
    <t xml:space="preserve">5-day course incl. exam; exam and certificate fees are included in the partner's course price. Full title: 5 yrs' experience incl. 2 in privacy management, plus 300 hrs of PIMS project work. The page does not name the edition; check the course covers ISO/IEC 27701:2025.</t>
  </si>
  <si>
    <t xml:space="preserve">CRT-030</t>
  </si>
  <si>
    <t xml:space="preserve">PECB ISO/IEC 42001 Lead Implementer / Lead Auditor</t>
  </si>
  <si>
    <t xml:space="preserve">Covers implementing or auditing an AI management system under ISO/IEC 42001; suits AI governance, risk and audit professionals.</t>
  </si>
  <si>
    <t xml:space="preserve">https://pecb.com/en/education-and-certification-for-individuals/iso-iec-42001/iso-iec-42001-lead-implementer</t>
  </si>
  <si>
    <t xml:space="preserve">Lead Auditor: pecb.com/en/education-and-certification-for-individuals/iso-iec-42001/iso-iec-42001-lead-auditor. ISO/IEC 42001:2023 is the first AI management system standard. 5-day course incl. exam; fees in course price. Full LI title: 5 yrs' experience incl. 2 in AI, plus 300 hrs of AIMS work.</t>
  </si>
  <si>
    <t xml:space="preserve">CRT-031</t>
  </si>
  <si>
    <t xml:space="preserve">CEDS – Certified E-Discovery Specialist</t>
  </si>
  <si>
    <t xml:space="preserve">Tech Law</t>
  </si>
  <si>
    <t xml:space="preserve">Covers the e-discovery process, including EDRM, preservation, collection, review and production; suits litigation support staff, paralegals and lawyers.</t>
  </si>
  <si>
    <t xml:space="preserve">https://aceds.org/ceds-certifications/</t>
  </si>
  <si>
    <t xml:space="preserve">ACEDS</t>
  </si>
  <si>
    <t xml:space="preserve">US$1,495 (Standard package, 1 attempt)</t>
  </si>
  <si>
    <t xml:space="preserve">145 multiple-choice questions, offered year-round at ACEDS-Kryterion testing centers. Certification lasts 2 years, then recertify. Complete package (2 attempts) US$1,995; government and non-profit US$1,249 or US$1,595. Eligibility: see aceds.org/ceds-certification-faqs/. Prices Oct 2026.</t>
  </si>
  <si>
    <t xml:space="preserve">LRN-001</t>
  </si>
  <si>
    <t xml:space="preserve">ACI Learning</t>
  </si>
  <si>
    <t xml:space="preserve">Learning Center</t>
  </si>
  <si>
    <t xml:space="preserve">learning</t>
  </si>
  <si>
    <t xml:space="preserve">Training provider</t>
  </si>
  <si>
    <t xml:space="preserve">Cybersecurity; General</t>
  </si>
  <si>
    <t xml:space="preserve">IT, cybersecurity and audit video training, including the former ITProTV catalog, with prep for CompTIA, ISC2, ISACA and similar exams.</t>
  </si>
  <si>
    <t xml:space="preserve">https://www.acilearning.com/</t>
  </si>
  <si>
    <t xml:space="preserve">Paid (ITPro from $39/mo or $379/yr)</t>
  </si>
  <si>
    <t xml:space="preserve">Notion import</t>
  </si>
  <si>
    <t xml:space="preserve">Domain confirmed Oct 2026 (homepage not fetched). ITPro plans page lists Standard $379/yr or $39/mo and Premium $579/yr or $59/mo; CompTIA bundles from $179/yr.</t>
  </si>
  <si>
    <t xml:space="preserve">LRN-002</t>
  </si>
  <si>
    <t xml:space="preserve">Cybrary</t>
  </si>
  <si>
    <t xml:space="preserve">Course platform</t>
  </si>
  <si>
    <t xml:space="preserve">Online cybersecurity courses, career paths and practice labs with a free tier and paid plans; suits beginners through working practitioners.</t>
  </si>
  <si>
    <t xml:space="preserve">https://www.cybrary.it/</t>
  </si>
  <si>
    <t xml:space="preserve">Verified Oct 2026. Free Access tier (intro courses, some cert prep) plus paid Insider Pro (annual checkout); prices are on the pricing page, not the homepage.</t>
  </si>
  <si>
    <t xml:space="preserve">LRN-003</t>
  </si>
  <si>
    <t xml:space="preserve">CISA Cybersecurity Training &amp; Exercises</t>
  </si>
  <si>
    <t xml:space="preserve">Free cybersecurity training and exercises from the US Cybersecurity and Infrastructure Security Agency for public and private sector staff.</t>
  </si>
  <si>
    <t xml:space="preserve">https://www.cisa.gov/topics/cybersecurity-best-practices/cybersecurity-training-exercises</t>
  </si>
  <si>
    <t xml:space="preserve">Hybrid</t>
  </si>
  <si>
    <t xml:space="preserve">URL updated to CISA's 'Cybersecurity Training &amp; Exercises' topic page (found via search Oct 2026; page blocks automated fetch). Some offerings are limited to government employees. NICCS (niccs.cisa.gov) lists training from many providers.</t>
  </si>
  <si>
    <t xml:space="preserve">LRN-004</t>
  </si>
  <si>
    <t xml:space="preserve">SANS Institute</t>
  </si>
  <si>
    <t xml:space="preserve">Intensive cybersecurity training across defense, offense, forensics, cloud, AI security and leadership, aligned with GIAC certifications.</t>
  </si>
  <si>
    <t xml:space="preserve">https://www.sans.org/</t>
  </si>
  <si>
    <t xml:space="preserve">Paid (courses about US$8,260+); free webcasts</t>
  </si>
  <si>
    <t xml:space="preserve">As of Oct 2026 OnDemand courses list at US$8,260-8,780. Free account gives webcasts, virtual summits, posters and course previews. SANS Technology Institute (sans.edu) offers degrees and certificates.</t>
  </si>
  <si>
    <t xml:space="preserve">LRN-005</t>
  </si>
  <si>
    <t xml:space="preserve">edX</t>
  </si>
  <si>
    <t xml:space="preserve">General; Cybersecurity; AI</t>
  </si>
  <si>
    <t xml:space="preserve">University and industry courses, including cybersecurity, AI and law topics, with free audit on many courses and paid certificates.</t>
  </si>
  <si>
    <t xml:space="preserve">https://www.edx.org/</t>
  </si>
  <si>
    <t xml:space="preserve">edX (2U)</t>
  </si>
  <si>
    <t xml:space="preserve">Domain confirmed via search Oct 2026 (homepage not fetched). Owned by 2U. Free audit availability varies by course.</t>
  </si>
  <si>
    <t xml:space="preserve">LRN-006</t>
  </si>
  <si>
    <t xml:space="preserve">Pluralsight</t>
  </si>
  <si>
    <t xml:space="preserve">Cybersecurity; AI; General</t>
  </si>
  <si>
    <t xml:space="preserve">Subscription video courses, skill assessments and labs for IT, cloud, security and AI; suits technical staff building job skills.</t>
  </si>
  <si>
    <t xml:space="preserve">https://www.pluralsight.com/</t>
  </si>
  <si>
    <t xml:space="preserve">Domain confirmed via search Oct 2026 (homepage not fetched). Confirm current individual plan pricing.</t>
  </si>
  <si>
    <t xml:space="preserve">LRN-007</t>
  </si>
  <si>
    <t xml:space="preserve">Udacity</t>
  </si>
  <si>
    <t xml:space="preserve">AI; Cybersecurity; General</t>
  </si>
  <si>
    <t xml:space="preserve">Project-based online programs (Nanodegrees) in AI, data and cybersecurity with mentor feedback; suits learners wanting structured technical study.</t>
  </si>
  <si>
    <t xml:space="preserve">https://www.udacity.com/</t>
  </si>
  <si>
    <t xml:space="preserve">Udacity (Accenture)</t>
  </si>
  <si>
    <t xml:space="preserve">Domain confirmed via search Oct 2026 (homepage not fetched); catalog includes an AI Security Engineer Nanodegree and IAM &amp; Data Privacy courses. Acquired by Accenture in 2024. Confirm pricing.</t>
  </si>
  <si>
    <t xml:space="preserve">LRN-008</t>
  </si>
  <si>
    <t xml:space="preserve">McAfee Institute</t>
  </si>
  <si>
    <t xml:space="preserve">Online training and certifications in investigations, cyber intelligence and fraud; suits investigators and intelligence analysts.</t>
  </si>
  <si>
    <t xml:space="preserve">https://www.mcafeeinstitute.edu/</t>
  </si>
  <si>
    <t xml:space="preserve">Old .com domain now redirects to mcafeeinstitute.edu (Oct 2026). Investigations and intelligence focus; check how employers in your field view its credentials. Confirm current programs and pricing.</t>
  </si>
  <si>
    <t xml:space="preserve">LRN-009</t>
  </si>
  <si>
    <t xml:space="preserve">CodePath</t>
  </si>
  <si>
    <t xml:space="preserve">Nonprofit offering free technical courses, including cybersecurity, mainly to US college students from underrepresented backgrounds.</t>
  </si>
  <si>
    <t xml:space="preserve">https://www.codepath.org/</t>
  </si>
  <si>
    <t xml:space="preserve">Verified Oct 2026. Nonprofit; courses are free for CS students and CodePath alumni. Offers Intro to Cybersecurity (CYB101) and Intermediate Cybersecurity (CYB102).</t>
  </si>
  <si>
    <t xml:space="preserve">LRN-010</t>
  </si>
  <si>
    <t xml:space="preserve">StationX</t>
  </si>
  <si>
    <t xml:space="preserve">UK-based cybersecurity training platform with course bundles, official CompTIA training, discounted exam vouchers and career coaching.</t>
  </si>
  <si>
    <t xml:space="preserve">https://www.stationx.net/</t>
  </si>
  <si>
    <t xml:space="preserve">As of Oct 2026 sells CompTIA vouchers (Security+ listed at US$439 before discount). VIP membership price not shown on the homepage.</t>
  </si>
  <si>
    <t xml:space="preserve">LRN-011</t>
  </si>
  <si>
    <t xml:space="preserve">TryHackMe</t>
  </si>
  <si>
    <t xml:space="preserve">Hands-on labs</t>
  </si>
  <si>
    <t xml:space="preserve">Browser-based guided cybersecurity labs and learning paths from beginner to advanced, with a free tier and a paid subscription.</t>
  </si>
  <si>
    <t xml:space="preserve">https://tryhackme.com/</t>
  </si>
  <si>
    <t xml:space="preserve">Verified Oct 2026. Free sign-up tier plus paid subscription; prices are on the pricing page, not the homepage.</t>
  </si>
  <si>
    <t xml:space="preserve">LRN-012</t>
  </si>
  <si>
    <t xml:space="preserve">Hack The Box</t>
  </si>
  <si>
    <t xml:space="preserve">Hands-on penetration testing labs, Academy courses and CTF challenges, plus its own job-role certifications; suits intermediate to advanced learners.</t>
  </si>
  <si>
    <t xml:space="preserve">https://www.hackthebox.com/</t>
  </si>
  <si>
    <t xml:space="preserve">Domain confirmed Oct 2026 (main homepage not fetched). HTB Academy (academy.hackthebox.com) lists the HTB CPTS certification at $490 with exam, and a free sign-up option.</t>
  </si>
  <si>
    <t xml:space="preserve">LRN-013</t>
  </si>
  <si>
    <t xml:space="preserve">Stanford Online</t>
  </si>
  <si>
    <t xml:space="preserve">University program</t>
  </si>
  <si>
    <t xml:space="preserve">Stanford's online courses and professional certificates, including AI and computer security programs; mostly paid, with some free courses.</t>
  </si>
  <si>
    <t xml:space="preserve">https://online.stanford.edu/</t>
  </si>
  <si>
    <t xml:space="preserve">Stanford University</t>
  </si>
  <si>
    <t xml:space="preserve">Paid (some free)</t>
  </si>
  <si>
    <t xml:space="preserve">Domain confirmed via search Oct 2026 (homepage not fetched). Offerings include AI Security and Web Security courses and the Advanced Cybersecurity Program. Confirm prices.</t>
  </si>
  <si>
    <t xml:space="preserve">LRN-014</t>
  </si>
  <si>
    <t xml:space="preserve">Harvard Online</t>
  </si>
  <si>
    <t xml:space="preserve">Harvard's online courses for professionals, including cybersecurity and AI topics; paid, often in cohort-based formats.</t>
  </si>
  <si>
    <t xml:space="preserve">https://www.harvardonline.harvard.edu/</t>
  </si>
  <si>
    <t xml:space="preserve">Harvard University</t>
  </si>
  <si>
    <t xml:space="preserve">Domain confirmed via search Oct 2026 (homepage not fetched). Offerings include 'Cybersecurity: Managing Risk in the Age of AI'. Confirm current courses and prices.</t>
  </si>
  <si>
    <t xml:space="preserve">LRN-015</t>
  </si>
  <si>
    <t xml:space="preserve">IAPP Training (CIPP, CIPM, CIPT, AIGP)</t>
  </si>
  <si>
    <t xml:space="preserve">Official IAPP training for the CIPP, CIPM, CIPT and AIGP exams, offered self-paced online, live online, in person or for groups.</t>
  </si>
  <si>
    <t xml:space="preserve">https://iapp.org/train/</t>
  </si>
  <si>
    <t xml:space="preserve">Prices not listed on training pages (Oct 2026); see IAPP store. IAPP warns that unofficial trainers may falsely claim authorization; check its Official Training Partners list. Free study guides available.</t>
  </si>
  <si>
    <t xml:space="preserve">LRN-016</t>
  </si>
  <si>
    <t xml:space="preserve">IAPP AIGP Training</t>
  </si>
  <si>
    <t xml:space="preserve">Course</t>
  </si>
  <si>
    <t xml:space="preserve">Official AIGP prep covering AI foundations, AI risk and governance, AI laws and standards, and governing AI development and deployment.</t>
  </si>
  <si>
    <t xml:space="preserve">https://www.iapp.org/train/aigp-training</t>
  </si>
  <si>
    <t xml:space="preserve">Formats: self-paced online, live online, in person, group (Oct 2026). Prices and exam-voucher inclusion not stated on page; check IAPP store.</t>
  </si>
  <si>
    <t xml:space="preserve">LRN-017</t>
  </si>
  <si>
    <t xml:space="preserve">IAPP Foundations of Privacy and Data Protection</t>
  </si>
  <si>
    <t xml:space="preserve">Introductory course on privacy concepts, Fair Information Practices, the data life cycle and major privacy laws; suits newcomers and non-privacy staff.</t>
  </si>
  <si>
    <t xml:space="preserve">https://www.iapp.org/train/foundations</t>
  </si>
  <si>
    <t xml:space="preserve">Formats: self-paced online, live online, in person, group (Oct 2026). Price not stated on page. Good preparation before CIPP/CIPM/CIPT training.</t>
  </si>
  <si>
    <t xml:space="preserve">LRN-018</t>
  </si>
  <si>
    <t xml:space="preserve">Privacy Bootcamp</t>
  </si>
  <si>
    <t xml:space="preserve">Self-paced online exam prep for IAPP CIPP/US, CIPP/E, CIPP/C, CIPM, CIPT and AIGP, with practice exams and lifetime access.</t>
  </si>
  <si>
    <t xml:space="preserve">https://www.privacybootcamp.com</t>
  </si>
  <si>
    <t xml:space="preserve">US$499 per course</t>
  </si>
  <si>
    <t xml:space="preserve">As of Oct 2026: about 50 study hours per course, digital materials only. Refund if you complete the course and fail the IAPP exam on the first try (terms apply). Independent of IAPP.</t>
  </si>
  <si>
    <t xml:space="preserve">LRN-019</t>
  </si>
  <si>
    <t xml:space="preserve">Infosec Institute IAPP Training</t>
  </si>
  <si>
    <t xml:space="preserve">Live online boot camps and on-demand courses for CIPP/US, CIPP/E, CIPM and CIPT with practice exams; Infosec also covers security certifications.</t>
  </si>
  <si>
    <t xml:space="preserve">https://www.infosecinstitute.com/training/iapp/</t>
  </si>
  <si>
    <t xml:space="preserve">Infosec Institute</t>
  </si>
  <si>
    <t xml:space="preserve">Prices not listed (Oct 2026). Page offers an Exam Pass Guarantee (free second attempt) for CIPT and CIPM. Infosec is an IAPP training partner.</t>
  </si>
  <si>
    <t xml:space="preserve">LRN-020</t>
  </si>
  <si>
    <t xml:space="preserve">SANS SEC401: Security Essentials – Network, Endpoint, and Cloud</t>
  </si>
  <si>
    <t xml:space="preserve">Six-day security essentials course covering network, endpoint and cloud defense with 20 hands-on labs; prepares for the GIAC GSEC exam.</t>
  </si>
  <si>
    <t xml:space="preserve">https://www.sans.org/cyber-security-courses/security-essentials-network-endpoint-cloud</t>
  </si>
  <si>
    <t xml:space="preserve">US$8,780 (OnDemand)</t>
  </si>
  <si>
    <t xml:space="preserve">Price as of Oct 2026 (OnDemand, 4 months access); live in-person and online events also listed. 46 hours self-paced, 46 CPEs. GIAC exam attempt is an optional add-on.</t>
  </si>
  <si>
    <t xml:space="preserve">LRN-021</t>
  </si>
  <si>
    <t xml:space="preserve">SANS LDR519: Cybersecurity Governance, Risk, and Compliance</t>
  </si>
  <si>
    <t xml:space="preserve">GRC course covering governance, safeguard selection, program management, validation and risk reporting, with simulation-based labs.</t>
  </si>
  <si>
    <t xml:space="preserve">https://www.sans.org/cyber-security-courses/cybersecurity-risk-management-compliance</t>
  </si>
  <si>
    <t xml:space="preserve">US$8,260 (OnDemand)</t>
  </si>
  <si>
    <t xml:space="preserve">Price as of Oct 2026; GBP/EUR pricing for European events. 16 labs, 30 CPEs. Framework-focused (NIST, CIS, ISO) rather than legal content.</t>
  </si>
  <si>
    <t xml:space="preserve">LRN-022</t>
  </si>
  <si>
    <t xml:space="preserve">SANS SEC545: GenAI and LLM Application Security</t>
  </si>
  <si>
    <t xml:space="preserve">Advanced course on securing GenAI and LLM apps: threat modeling, RAG and vector database defense, prompt injection and MLOps hardening.</t>
  </si>
  <si>
    <t xml:space="preserve">https://www.sans.org/cyber-security-courses/genai-llm-application-security</t>
  </si>
  <si>
    <t xml:space="preserve">As of Oct 2026: 5 days live or 30 hours self-paced, 20 labs, 30 CPEs. Aligned to the GIAC AI Platform Security (GAIPS) certification.</t>
  </si>
  <si>
    <t xml:space="preserve">LRN-023</t>
  </si>
  <si>
    <t xml:space="preserve">SANS Free Webcasts, Summits and Community Nights</t>
  </si>
  <si>
    <t xml:space="preserve">Free SANS webcasts, virtual summits and local community nights on current security topics; many webcasts earn CPE credits.</t>
  </si>
  <si>
    <t xml:space="preserve">https://www.sans.org/free-cybersecurity-events</t>
  </si>
  <si>
    <t xml:space="preserve">Requires a free SANS account (Oct 2026). Virtual summits are free; in-person community nights have limited spots. No experience required.</t>
  </si>
  <si>
    <t xml:space="preserve">LRN-024</t>
  </si>
  <si>
    <t xml:space="preserve">Elements of AI</t>
  </si>
  <si>
    <t xml:space="preserve">Free introductory online course on what AI is, what it can and cannot do, and its effects on society; no math or coding needed.</t>
  </si>
  <si>
    <t xml:space="preserve">https://www.elementsofai.com/</t>
  </si>
  <si>
    <t xml:space="preserve">University of Helsinki and MinnaLearn</t>
  </si>
  <si>
    <t xml:space="preserve">Verified Oct 2026. Free, self-paced intro by MinnaLearn and the University of Helsinki, in many languages. Homepage also promotes a separate MinnaLearn AI literacy certificate; confirm the course's own completion certificate.</t>
  </si>
  <si>
    <t xml:space="preserve">LRN-025</t>
  </si>
  <si>
    <t xml:space="preserve">Google Cybersecurity Professional Certificate</t>
  </si>
  <si>
    <t xml:space="preserve">Certificate program</t>
  </si>
  <si>
    <t xml:space="preserve">Beginner program covering security basics, networks, Linux, SQL, Python, SIEM tools and incident response; suits career changers.</t>
  </si>
  <si>
    <t xml:space="preserve">https://www.coursera.org/professional-certificates/google-cybersecurity</t>
  </si>
  <si>
    <t xml:space="preserve">Google (via Coursera)</t>
  </si>
  <si>
    <t xml:space="preserve">Paid (Coursera subscription)</t>
  </si>
  <si>
    <t xml:space="preserve">URL confirmed via linked Coursera course page (Oct 2026). Eight self-paced courses; enroll free, but materials and certificate need the paid Certificate experience or Coursera Plus. Financial aid available.</t>
  </si>
  <si>
    <t xml:space="preserve">LRN-026</t>
  </si>
  <si>
    <t xml:space="preserve">Cisco Networking Academy</t>
  </si>
  <si>
    <t xml:space="preserve">Cisco's learning platform with free self-paced courses such as Introduction to Cybersecurity and Ethical Hacker, plus instructor-led paths.</t>
  </si>
  <si>
    <t xml:space="preserve">https://www.netacad.com/</t>
  </si>
  <si>
    <t xml:space="preserve">Cisco</t>
  </si>
  <si>
    <t xml:space="preserve">Free (self-paced courses)</t>
  </si>
  <si>
    <t xml:space="preserve">Confirmed Oct 2026 (homepage served at /en/). Catalog advertises free online courses in cybersecurity and networking with an account; instructor-led courses run through partner schools.</t>
  </si>
  <si>
    <t xml:space="preserve">LRN-027</t>
  </si>
  <si>
    <t xml:space="preserve">PortSwigger Web Security Academy</t>
  </si>
  <si>
    <t xml:space="preserve">Free web application security training with interactive labs on SQL injection, XSS, access control and LLM attacks, from the makers of Burp Suite.</t>
  </si>
  <si>
    <t xml:space="preserve">https://portswigger.net/web-security</t>
  </si>
  <si>
    <t xml:space="preserve">PortSwigger</t>
  </si>
  <si>
    <t xml:space="preserve">Verified Oct 2026. 100% free. Prepares for the paid Burp Suite Certified Practitioner exam (linked from the 'Get certified' section).</t>
  </si>
  <si>
    <t xml:space="preserve">LRN-028</t>
  </si>
  <si>
    <t xml:space="preserve">CS50's Introduction to Cybersecurity</t>
  </si>
  <si>
    <t xml:space="preserve">Free Harvard course on securing accounts, data, systems and software, written for technical and non-technical learners alike.</t>
  </si>
  <si>
    <t xml:space="preserve">https://cs50.harvard.edu/cybersecurity/</t>
  </si>
  <si>
    <t xml:space="preserve">Harvard University (CS50)</t>
  </si>
  <si>
    <t xml:space="preserve">Free (optional paid certificate)</t>
  </si>
  <si>
    <t xml:space="preserve">Verified Oct 2026. Free via Harvard OpenCourseWare; optional paid verified certificate through edX (cs50.edx.org/cybersecurity).</t>
  </si>
  <si>
    <t xml:space="preserve">LRN-029</t>
  </si>
  <si>
    <t xml:space="preserve">AI For Everyone</t>
  </si>
  <si>
    <t xml:space="preserve">Non-technical course by Andrew Ng on AI terms, what AI can do, running AI projects and AI's effects on society; suits managers and lawyers.</t>
  </si>
  <si>
    <t xml:space="preserve">https://www.coursera.org/learn/ai-for-everyone</t>
  </si>
  <si>
    <t xml:space="preserve">DeepLearning.AI (via Coursera)</t>
  </si>
  <si>
    <t xml:space="preserve">Verified Oct 2026. Andrew Ng / DeepLearning.AI. Page says 'Enroll for free', but full materials and the certificate require buying the Certificate experience; free audit is not explicitly offered.</t>
  </si>
  <si>
    <t xml:space="preserve">LRN-030</t>
  </si>
  <si>
    <t xml:space="preserve">OWASP Juice Shop</t>
  </si>
  <si>
    <t xml:space="preserve">Free, intentionally insecure web app for practicing attacks across the OWASP Top 10; runs locally or in containers for self-study and training.</t>
  </si>
  <si>
    <t xml:space="preserve">https://owasp.org/projects/juice-shop</t>
  </si>
  <si>
    <t xml:space="preserve">URL updated to OWASP's current canonical project page (Oct 2026). Flagship project, latest v20.2.0. Pair with the OWASP Top 10 and OWASP Top 10 for LLM Applications as reference material.</t>
  </si>
  <si>
    <t xml:space="preserve">LRN-031</t>
  </si>
  <si>
    <t xml:space="preserve">Santa Clara Law Certificate Programs (Privacy, High Tech Law)</t>
  </si>
  <si>
    <t xml:space="preserve">JD certificate programs in privacy law and high tech law at a Silicon Valley law school; suits law students focusing on tech law.</t>
  </si>
  <si>
    <t xml:space="preserve">https://law.scu.edu/law/academics/courses-that-satisfy-certificate-requirements/</t>
  </si>
  <si>
    <t xml:space="preserve">Santa Clara University School of Law</t>
  </si>
  <si>
    <t xml:space="preserve">Paid (JD tuition)</t>
  </si>
  <si>
    <t xml:space="preserve">Law school homepage (Oct 2026) lists certificates in high tech, international, privacy and public interest law; this page lists qualifying courses. Eligibility and requirements are in the student bulletin.</t>
  </si>
  <si>
    <t xml:space="preserve">EVT-001</t>
  </si>
  <si>
    <t xml:space="preserve">SANS AI Cybersecurity Summit Fall 2026</t>
  </si>
  <si>
    <t xml:space="preserve">Events</t>
  </si>
  <si>
    <t xml:space="preserve">events</t>
  </si>
  <si>
    <t xml:space="preserve">Summit</t>
  </si>
  <si>
    <t xml:space="preserve">SANS summit on securing AI systems and agents and applying AI in security operations, with talks and workshops in person or online.</t>
  </si>
  <si>
    <t xml:space="preserve">https://www.sans.org/cyber-security-training-events/ai-summit-fall-2026</t>
  </si>
  <si>
    <t xml:space="preserve">US$525 in person; US$100 live online</t>
  </si>
  <si>
    <t xml:space="preserve">Arlington, VA, US</t>
  </si>
  <si>
    <t xml:space="preserve">Upcoming</t>
  </si>
  <si>
    <t xml:space="preserve">Hilton Arlington Rosslyn The Key. Some workshops are in person only.</t>
  </si>
  <si>
    <t xml:space="preserve">EVT-002</t>
  </si>
  <si>
    <t xml:space="preserve">Privacy + Security Forum Fall Academy 2026</t>
  </si>
  <si>
    <t xml:space="preserve">Conference</t>
  </si>
  <si>
    <t xml:space="preserve">Privacy; Cybersecurity; Tech Law</t>
  </si>
  <si>
    <t xml:space="preserve">Washington, DC conference on privacy and data security law and practice, organised by Privacy + Security Academy, with CLE/CPE credit.</t>
  </si>
  <si>
    <t xml:space="preserve">https://www.privacysecurityacademy.com/psf-fall-conference/</t>
  </si>
  <si>
    <t xml:space="preserve">Privacy + Security Academy</t>
  </si>
  <si>
    <t xml:space="preserve">Paid (price not published)</t>
  </si>
  <si>
    <t xml:space="preserve">Washington, DC, US</t>
  </si>
  <si>
    <t xml:space="preserve">Official site (Oct 2026) lists the Fall Academy as Nov 4-6, 2026 in Washington, DC; end date confirmed. Partner listing (GT Law) puts it at George Washington University. Fees not shown on the homepage; see registration.</t>
  </si>
  <si>
    <t xml:space="preserve">EVT-003</t>
  </si>
  <si>
    <t xml:space="preserve">Global Privacy Assembly 2026 (48th Annual Meeting)</t>
  </si>
  <si>
    <t xml:space="preserve">Annual meeting of the world's data protection and privacy authorities; closed session for members and observers, open programme held within IAPP Congress.</t>
  </si>
  <si>
    <t xml:space="preserve">https://globalprivacyassembly.com/?p=6624707</t>
  </si>
  <si>
    <t xml:space="preserve">Brussels, Belgium</t>
  </si>
  <si>
    <t xml:space="preserve">Closed session 16–17 Nov (Albert Borschette Congress Centre) for GPA members and official observers; open programme 18–19 Nov at SQUARE as part of IAPP Europe Congress. Registration details 'available soon'.</t>
  </si>
  <si>
    <t xml:space="preserve">EVT-004</t>
  </si>
  <si>
    <t xml:space="preserve">IAPP Europe Congress 2026</t>
  </si>
  <si>
    <t xml:space="preserve">Privacy; AI; Tech Law</t>
  </si>
  <si>
    <t xml:space="preserve">IAPP's main European conference on GDPR, EU data protection, AI governance and enforcement, with training and workshops before the main programme.</t>
  </si>
  <si>
    <t xml:space="preserve">https://iapp.org/conference/iapp-europe-congress</t>
  </si>
  <si>
    <t xml:space="preserve">Main conference €1,745 (IAPP members) / €1,945 (non-members); public sector €790, academic €550</t>
  </si>
  <si>
    <t xml:space="preserve">Training 16–17 Nov, workshops 17 Nov, main conference 18–19 Nov at SQUARE Brussels Convention Centre. Open programme of the 48th Global Privacy Assembly runs inside the Congress.</t>
  </si>
  <si>
    <t xml:space="preserve">EVT-005</t>
  </si>
  <si>
    <t xml:space="preserve">Black Hat Middle East &amp; Africa 2026</t>
  </si>
  <si>
    <t xml:space="preserve">Regional Black Hat edition for the Middle East and Africa with security briefings, trainings and a large exhibition.</t>
  </si>
  <si>
    <t xml:space="preserve">https://www.blackhat.com/upcoming.html</t>
  </si>
  <si>
    <t xml:space="preserve">Black Hat (Informa)</t>
  </si>
  <si>
    <t xml:space="preserve">Middle East</t>
  </si>
  <si>
    <t xml:space="preserve">Riyadh, Saudi Arabia</t>
  </si>
  <si>
    <t xml:space="preserve">At Riyadh Exhibition &amp; Convention Center, Malham.</t>
  </si>
  <si>
    <t xml:space="preserve">EVT-006</t>
  </si>
  <si>
    <t xml:space="preserve">IAPP ANZ Summit 2026</t>
  </si>
  <si>
    <t xml:space="preserve">IAPP's Australia and New Zealand privacy conference on privacy law reform, AI governance and data protection practice in the region.</t>
  </si>
  <si>
    <t xml:space="preserve">https://iapp.org/conference/iapp-anz-summit</t>
  </si>
  <si>
    <t xml:space="preserve">APAC</t>
  </si>
  <si>
    <t xml:space="preserve">Main conference AUD 1,745 (members AUD 1,595); training from AUD 1,795 (members)</t>
  </si>
  <si>
    <t xml:space="preserve">Sydney, Australia</t>
  </si>
  <si>
    <t xml:space="preserve">Training 1–2 Dec; main conference 3–4 Dec at Hyatt Regency Sydney. CIPP/AU exam offered on the afternoon of 4 Dec.</t>
  </si>
  <si>
    <t xml:space="preserve">EVT-007</t>
  </si>
  <si>
    <t xml:space="preserve">ISACA 2026 Virtual Conference</t>
  </si>
  <si>
    <t xml:space="preserve">Cybersecurity; Privacy; AI</t>
  </si>
  <si>
    <t xml:space="preserve">Online ISACA conference covering IT audit, risk, governance, security and emerging technology topics.</t>
  </si>
  <si>
    <t xml:space="preserve">https://www.isaca.org/training-and-events/conferences/isaca-virtual-conference</t>
  </si>
  <si>
    <t xml:space="preserve">Listed on ISACA's conferences page; pricing not shown in the listing.</t>
  </si>
  <si>
    <t xml:space="preserve">EVT-008</t>
  </si>
  <si>
    <t xml:space="preserve">Black Hat Europe 2026</t>
  </si>
  <si>
    <t xml:space="preserve">Technical security conference with hands-on trainings and research briefings on vulnerabilities, threats and defence, plus a business hall.</t>
  </si>
  <si>
    <t xml:space="preserve">London, UK</t>
  </si>
  <si>
    <t xml:space="preserve">At ExCeL London. Trainings run first, followed by two days of briefings and the business hall.</t>
  </si>
  <si>
    <t xml:space="preserve">EVT-009</t>
  </si>
  <si>
    <t xml:space="preserve">Gartner Identity &amp; Access Management Summit 2026</t>
  </si>
  <si>
    <t xml:space="preserve">Gartner conference for identity and access management leaders on identity governance, access management, PAM and identity threat detection.</t>
  </si>
  <si>
    <t xml:space="preserve">https://www.gartner.com/en/conferences/na/identity-access-management-us</t>
  </si>
  <si>
    <t xml:space="preserve">Gartner</t>
  </si>
  <si>
    <t xml:space="preserve">$4,175 standard; $3,550 public sector</t>
  </si>
  <si>
    <t xml:space="preserve">Las Vegas, NV, US</t>
  </si>
  <si>
    <t xml:space="preserve">Confirmed on Gartner's venue and register pages (Oct 2026): Dec 7-9, 2026 at CAESARS FORUM, Las Vegas, NV (not Grapevine, TX). Standard price $4,175; public-sector $3,550 with proof of status.</t>
  </si>
  <si>
    <t xml:space="preserve">EVT-010</t>
  </si>
  <si>
    <t xml:space="preserve">SANS Cyber Defense Initiative 2026</t>
  </si>
  <si>
    <t xml:space="preserve">Training event</t>
  </si>
  <si>
    <t xml:space="preserve">SANS year-end training event with multi-day hands-on courses in defence, offence, forensics, cloud, ICS and security leadership.</t>
  </si>
  <si>
    <t xml:space="preserve">https://www.sans.org/cyber-security-training-events/cyber-defense-initiative-2026</t>
  </si>
  <si>
    <t xml:space="preserve">Courses US$3,000–US$9,230 (most 6-day courses US$8,780)</t>
  </si>
  <si>
    <t xml:space="preserve">Grand Hyatt Washington or Live Online. Register by 15 Nov for 120 days OnDemand access plus a GIAC attempt. Refund deadline 27 Nov; NetWars included with courses.</t>
  </si>
  <si>
    <t xml:space="preserve">EVT-036</t>
  </si>
  <si>
    <t xml:space="preserve">The 17th Annual Sedona Conference Institute 2027: Practical eDiscovery and AI</t>
  </si>
  <si>
    <t xml:space="preserve">Tech Law; AI</t>
  </si>
  <si>
    <t xml:space="preserve">Two-day Sedona Conference Institute program on practical eDiscovery and AI for litigators, including privilege and GenAI ethics.</t>
  </si>
  <si>
    <t xml:space="preserve">https://www.thesedonaconference.org/TSCI_2027</t>
  </si>
  <si>
    <t xml:space="preserve">The Sedona Conference</t>
  </si>
  <si>
    <t xml:space="preserve">TBA, US</t>
  </si>
  <si>
    <t xml:space="preserve">Dates from Sedona's upcoming-events page and agenda (node/11729), fetched Oct 2026. Venue, format and fees not stated on fetched pages; 'In person' assumed, confirm. Link is the official events-page alias.</t>
  </si>
  <si>
    <t xml:space="preserve">EVT-011</t>
  </si>
  <si>
    <t xml:space="preserve">Data Privacy and Protection Conference 2027 (DPPC27)</t>
  </si>
  <si>
    <t xml:space="preserve">Two-day South African conference on data privacy and data protection compliance for organisations.</t>
  </si>
  <si>
    <t xml:space="preserve">https://umbonosa.co.za/data-privacy-protection-conference-registration/</t>
  </si>
  <si>
    <t xml:space="preserve">Umbono Conferences and Events</t>
  </si>
  <si>
    <t xml:space="preserve">Africa</t>
  </si>
  <si>
    <t xml:space="preserve">R8,500 in person; R4,500 virtual</t>
  </si>
  <si>
    <t xml:space="preserve">Fourways, Johannesburg, South Africa</t>
  </si>
  <si>
    <t xml:space="preserve">Verified on Umbono's site (Oct 2026): 27-28 Jan 2027 at Indaba Hotel, Spa and Conference Centre, Fourways. In person R8,500 or virtual R4,500; early bird R6,375 (in person) until 30 Oct 2026. Event page: umbonosa.co.za/data-privacy-and-protection-conference-2027/</t>
  </si>
  <si>
    <t xml:space="preserve">EVT-012</t>
  </si>
  <si>
    <t xml:space="preserve">SANS Cyber Threat Intelligence Summit 2027</t>
  </si>
  <si>
    <t xml:space="preserve">SANS summit for threat intelligence analysts on CTI tradecraft, attribution and operational use, followed by optional training courses.</t>
  </si>
  <si>
    <t xml:space="preserve">https://www.sans.org/cyber-security-training-events/cyber-threat-intelligence-summit-2027</t>
  </si>
  <si>
    <t xml:space="preserve">Summit US$525; summit plus course US$3,505</t>
  </si>
  <si>
    <t xml:space="preserve">Alexandria, VA, US</t>
  </si>
  <si>
    <t xml:space="preserve">Summit 1–2 Feb (in person only) at The Westin Alexandria Old Town; training 3–8 Feb in person or live online.</t>
  </si>
  <si>
    <t xml:space="preserve">EVT-032</t>
  </si>
  <si>
    <t xml:space="preserve">Legalweek New York 2027</t>
  </si>
  <si>
    <t xml:space="preserve">ALM's annual legal technology conference and expo covering e-discovery, AI, legal operations and law firm technology.</t>
  </si>
  <si>
    <t xml:space="preserve">https://www.event.law.com/legalweek/venue</t>
  </si>
  <si>
    <t xml:space="preserve">ALM (Law.com)</t>
  </si>
  <si>
    <t xml:space="preserve">New York, NY, US</t>
  </si>
  <si>
    <t xml:space="preserve">Dates and venue (North Javits Center) from the official Legalweek venue page; recent editions were at the New York Hilton Midtown. Pricing is on event.law.com/legalweek/2027-pricing (not fetched).</t>
  </si>
  <si>
    <t xml:space="preserve">EVT-035</t>
  </si>
  <si>
    <t xml:space="preserve">ABA TECHSHOW 2027</t>
  </si>
  <si>
    <t xml:space="preserve">American Bar Association Law Practice Division's annual legal technology conference and expo for lawyers and legal staff.</t>
  </si>
  <si>
    <t xml:space="preserve">https://techshow.com/conference/</t>
  </si>
  <si>
    <t xml:space="preserve">American Bar Association Law Practice Division</t>
  </si>
  <si>
    <t xml:space="preserve">Chicago, IL, US</t>
  </si>
  <si>
    <t xml:space="preserve">Conference Mar 3-6 and EXPO Mar 3-5, 2027 at McCormick Place (Hyatt Regency McCormick Place), per techshow.com and the ABA event page. Fees not shown on fetched pages.</t>
  </si>
  <si>
    <t xml:space="preserve">EVT-013</t>
  </si>
  <si>
    <t xml:space="preserve">CPDP 2027: Computers, Privacy and Data Protection</t>
  </si>
  <si>
    <t xml:space="preserve">Multidisciplinary Brussels conference where academics, regulators, industry and civil society debate data protection, privacy and technology policy.</t>
  </si>
  <si>
    <t xml:space="preserve">https://www.cpdpconferences.org/news/cpdp-2027-anniversary-edition</t>
  </si>
  <si>
    <t xml:space="preserve">CPDP Conferences</t>
  </si>
  <si>
    <t xml:space="preserve">20th anniversary edition at Maison de la Poste (Tour &amp; Taxis). Opening night 8 Mar; conference days 9–11 Mar. Calls for panels, papers and workshops opened mid-Sept and close in November 2026.</t>
  </si>
  <si>
    <t xml:space="preserve">EVT-014</t>
  </si>
  <si>
    <t xml:space="preserve">WiCyS 2027 Conference</t>
  </si>
  <si>
    <t xml:space="preserve">Annual Women in CyberSecurity conference with technical talks, workshops, a career fair and scholarships for students and professionals.</t>
  </si>
  <si>
    <t xml:space="preserve">https://www.wicys.org/events/wicys-2027/</t>
  </si>
  <si>
    <t xml:space="preserve">Women in CyberSecurity (WiCyS)</t>
  </si>
  <si>
    <t xml:space="preserve">Aurora, CO, US</t>
  </si>
  <si>
    <t xml:space="preserve">Gaylord Rockies Resort &amp; Convention Center (Denver area). Student poster submissions close 4 Nov 2026; general registration opens 9 Dec 2026 until capacity.</t>
  </si>
  <si>
    <t xml:space="preserve">EVT-015</t>
  </si>
  <si>
    <t xml:space="preserve">IAPP Global Summit 2027</t>
  </si>
  <si>
    <t xml:space="preserve">IAPP's largest annual conference, held in Washington, on US and global privacy law, AI governance and cybersecurity law.</t>
  </si>
  <si>
    <t xml:space="preserve">https://www.iapp.org/conference/iapp-global-summit</t>
  </si>
  <si>
    <t xml:space="preserve">Training 21–22 Mar, workshops 22 Mar, main conference 23–24 Mar at Marriott Marquis / Walter E. Washington Convention Center. 2027 pricing not yet published.</t>
  </si>
  <si>
    <t xml:space="preserve">EVT-037</t>
  </si>
  <si>
    <t xml:space="preserve">CodeX FutureLaw Week 2027</t>
  </si>
  <si>
    <t xml:space="preserve">Stanford CodeX's annual FutureLaw gathering on legal technology, computational law and AI, held at Stanford Law School.</t>
  </si>
  <si>
    <t xml:space="preserve">https://conferences.law.stanford.edu/futurelaw/</t>
  </si>
  <si>
    <t xml:space="preserve">Stanford CodeX (Stanford Center for Legal Informatics)</t>
  </si>
  <si>
    <t xml:space="preserve">Price not published</t>
  </si>
  <si>
    <t xml:space="preserve">Stanford, CA, US</t>
  </si>
  <si>
    <t xml:space="preserve">Official site (fetched Oct 2026) lists FutureLaw Week 2027, March 29-April 2, 2027, Paul Brest Hall, Stanford Law School; 5.5 general CLE hours for registered attendees. Registration and livestream details not yet posted.</t>
  </si>
  <si>
    <t xml:space="preserve">EVT-016</t>
  </si>
  <si>
    <t xml:space="preserve">IAPP UK Intensive + AI Governance Global 2027</t>
  </si>
  <si>
    <t xml:space="preserve">Privacy; AI; Cybersecurity; Tech Law</t>
  </si>
  <si>
    <t xml:space="preserve">IAPP's London conference on UK data protection, AI governance and cybersecurity law, combined with AI Governance Global for 2027.</t>
  </si>
  <si>
    <t xml:space="preserve">https://www.iapp.org/conference/iapp-uk-intensive</t>
  </si>
  <si>
    <t xml:space="preserve">Dates from IAPP conference listing. Third-party listing gives training 5–6 Apr, workshops 6 Apr, conference 7–8 Apr at Hilton London Metropole. 2026 main-conference rates were £1,145–£1,445.</t>
  </si>
  <si>
    <t xml:space="preserve">EVT-017</t>
  </si>
  <si>
    <t xml:space="preserve">RSAC 2027 Conference</t>
  </si>
  <si>
    <t xml:space="preserve">Cybersecurity; AI; Privacy</t>
  </si>
  <si>
    <t xml:space="preserve">Large annual cybersecurity conference and expo covering threats, security strategy, AI, privacy, policy and GRC through keynotes and tracks.</t>
  </si>
  <si>
    <t xml:space="preserve">https://www.rsaconference.com/register-your-interest</t>
  </si>
  <si>
    <t xml:space="preserve">RSAC</t>
  </si>
  <si>
    <t xml:space="preserve">Paid (price not published); registration opens Oct 2026</t>
  </si>
  <si>
    <t xml:space="preserve">San Francisco, CA, US</t>
  </si>
  <si>
    <t xml:space="preserve">At Moscone Center (North, South and West). Registering interest before registration opens gives $100 off the top-tier pass.</t>
  </si>
  <si>
    <t xml:space="preserve">EVT-018</t>
  </si>
  <si>
    <t xml:space="preserve">SANS 2027</t>
  </si>
  <si>
    <t xml:space="preserve">SANS flagship spring training event with dozens of hands-on cybersecurity courses, GIAC certification options and NetWars.</t>
  </si>
  <si>
    <t xml:space="preserve">https://www.sans.org/cyber-security-training-events/sans-2027</t>
  </si>
  <si>
    <t xml:space="preserve">Courses US$3,000–US$9,230; US$750 early-bird discount on 4–6 day courses until 22 Dec 2026</t>
  </si>
  <si>
    <t xml:space="preserve">Orlando, FL, US</t>
  </si>
  <si>
    <t xml:space="preserve">Hyatt Regency Orlando or Live Online. Early-bird code EarlyBirdNA by 22 Dec 2026; certification attempts US$999 (US$499 for SEC301); refund deadline 26 Mar 2027.</t>
  </si>
  <si>
    <t xml:space="preserve">EVT-019</t>
  </si>
  <si>
    <t xml:space="preserve">Privacy Symposium Venice 2027</t>
  </si>
  <si>
    <t xml:space="preserve">International conference on data protection, data governance and compliance, co-organised with the Italian Data Protection Authority.</t>
  </si>
  <si>
    <t xml:space="preserve">https://privacysymposium.org/</t>
  </si>
  <si>
    <t xml:space="preserve">Privacy Symposium (secretariat: Mandat International)</t>
  </si>
  <si>
    <t xml:space="preserve">Venice, Italy</t>
  </si>
  <si>
    <t xml:space="preserve">Verified Oct 2026: 26-30 April 2027 in Venice, hosted by Ca' Foscari University and nearby venues. Registration not yet open; fees (incl. 22% VAT) to be published. Call for papers page on site.</t>
  </si>
  <si>
    <t xml:space="preserve">EVT-020</t>
  </si>
  <si>
    <t xml:space="preserve">ISACA 2027 North America Conference</t>
  </si>
  <si>
    <t xml:space="preserve">ISACA's annual conference for IT audit, risk, governance, security and privacy professionals.</t>
  </si>
  <si>
    <t xml:space="preserve">https://www.isaca.org/training-and-events/conferences/isaca-north-america-conference</t>
  </si>
  <si>
    <t xml:space="preserve">In Chicago with a virtual option. Venue, pricing and CPE details not yet published; call for speakers closed.</t>
  </si>
  <si>
    <t xml:space="preserve">EVT-034</t>
  </si>
  <si>
    <t xml:space="preserve">CLOC Global Institute 2027</t>
  </si>
  <si>
    <t xml:space="preserve">Corporate Legal Operations Consortium's annual institute for legal operations professionals, held at ARIA in Las Vegas.</t>
  </si>
  <si>
    <t xml:space="preserve">https://globalinstitute.cloc.org/</t>
  </si>
  <si>
    <t xml:space="preserve">Corporate Legal Operations Consortium (CLOC)</t>
  </si>
  <si>
    <t xml:space="preserve">CLOC member early rate $945 (to 31 Oct 2026); other rates not published</t>
  </si>
  <si>
    <t xml:space="preserve">Dates from CLOC's Future Institutes page (globalinstitute.cloc.org/history/): May 10-13, 2027, ARIA Resort &amp; Casino. Public registration opens 2 Nov 2026. The 2026 edition was in Chicago.</t>
  </si>
  <si>
    <t xml:space="preserve">EVT-021</t>
  </si>
  <si>
    <t xml:space="preserve">IAPP Canada Symposium 2027</t>
  </si>
  <si>
    <t xml:space="preserve">IAPP's Canadian privacy conference on federal and provincial privacy law, AI governance and regulator priorities.</t>
  </si>
  <si>
    <t xml:space="preserve">https://www.iapp.org/conference/iapp-canada-symposium</t>
  </si>
  <si>
    <t xml:space="preserve">Toronto, Canada</t>
  </si>
  <si>
    <t xml:space="preserve">Training 25–26 May, workshops 26 May, main conference 27–28 May. Breakout session proposals due 8 Nov 2026. 2026 main-conference rates were CAD 1,345–1,745.</t>
  </si>
  <si>
    <t xml:space="preserve">EVT-022</t>
  </si>
  <si>
    <t xml:space="preserve">Privacy Law Scholars Conference (PLSC) 2027</t>
  </si>
  <si>
    <t xml:space="preserve">Annual gathering of privacy law scholars and practitioners who workshop draft papers on privacy law and policy.</t>
  </si>
  <si>
    <t xml:space="preserve">https://privacyscholars.org</t>
  </si>
  <si>
    <t xml:space="preserve">Privacy Law Scholars Conference</t>
  </si>
  <si>
    <t xml:space="preserve">Atlanta, GA, US</t>
  </si>
  <si>
    <t xml:space="preserve">Mentorship pre-conference 2 Jun; main conference 3–4 Jun, hosted by Georgia State University College of Law. Call for submissions opens November 2026.</t>
  </si>
  <si>
    <t xml:space="preserve">EVT-023</t>
  </si>
  <si>
    <t xml:space="preserve">PEPR '27: USENIX Conference on Privacy Engineering Practice and Respect</t>
  </si>
  <si>
    <t xml:space="preserve">USENIX conference for privacy engineers, researchers and practitioners on building privacy into products, systems and organisations.</t>
  </si>
  <si>
    <t xml:space="preserve">https://www.usenix.org/conferences/byname/1046</t>
  </si>
  <si>
    <t xml:space="preserve">USENIX</t>
  </si>
  <si>
    <t xml:space="preserve">Santa Clara, CA, US</t>
  </si>
  <si>
    <t xml:space="preserve">Dates listed on USENIX's PEPR page and calendar of events; the PEPR '27 site and call for participation were not yet published.</t>
  </si>
  <si>
    <t xml:space="preserve">EVT-038</t>
  </si>
  <si>
    <t xml:space="preserve">18th Annual NICE Conference &amp; Expo (2027)</t>
  </si>
  <si>
    <t xml:space="preserve">NIST NICE's annual conference on cybersecurity education, training and workforce development.</t>
  </si>
  <si>
    <t xml:space="preserve">https://www.nist.gov/news-events/events/18th-annual-nice-conference-and-expo</t>
  </si>
  <si>
    <t xml:space="preserve">NIST National Initiative for Cybersecurity Education (NICE)</t>
  </si>
  <si>
    <t xml:space="preserve">NIST event page (fetched Oct 2026): June 7-9, 2027; location to be announced. Details at niceconference.org. The 2026 edition was June 1-3 in Philadelphia.</t>
  </si>
  <si>
    <t xml:space="preserve">EVT-039</t>
  </si>
  <si>
    <t xml:space="preserve">Infosecurity Europe 2027</t>
  </si>
  <si>
    <t xml:space="preserve">Expo</t>
  </si>
  <si>
    <t xml:space="preserve">Annual cybersecurity exhibition and conference programme at ExCeL London for information security professionals.</t>
  </si>
  <si>
    <t xml:space="preserve">https://www.infosecurityeurope.com/</t>
  </si>
  <si>
    <t xml:space="preserve">Infosecurity Europe (RX)</t>
  </si>
  <si>
    <t xml:space="preserve">Price not yet published (register-interest only)</t>
  </si>
  <si>
    <t xml:space="preserve">London, United Kingdom</t>
  </si>
  <si>
    <t xml:space="preserve">Official site and venue page (fetched Oct 2026): 8-10 June 2027, ExCeL London (Royal Victoria Dock, E16 1XL). Only 'Register interest' is open; visitor pricing not stated.</t>
  </si>
  <si>
    <t xml:space="preserve">EVT-024</t>
  </si>
  <si>
    <t xml:space="preserve">ACM FAccT 2027</t>
  </si>
  <si>
    <t xml:space="preserve">Interdisciplinary ACM conference on fairness, accountability and transparency in algorithmic and AI systems, spanning computing, law and social science.</t>
  </si>
  <si>
    <t xml:space="preserve">https://facctconference.org/2027/cfp.html</t>
  </si>
  <si>
    <t xml:space="preserve">ACM</t>
  </si>
  <si>
    <t xml:space="preserve">Porto, Portugal</t>
  </si>
  <si>
    <t xml:space="preserve">Abstracts were due 27 Oct 2026 and papers 3 Nov 2026 (AoE). Official CFP gives dates only; Porto location is from third-party trackers (mldeadlines, beri.net).</t>
  </si>
  <si>
    <t xml:space="preserve">EVT-025</t>
  </si>
  <si>
    <t xml:space="preserve">Geneva AI Summit 2027</t>
  </si>
  <si>
    <t xml:space="preserve">Intergovernmental summit on AI governance and international cooperation hosted by Switzerland, following the 2026 AI Impact Summit in New Delhi.</t>
  </si>
  <si>
    <t xml:space="preserve">https://genevaaisummit.swiss/</t>
  </si>
  <si>
    <t xml:space="preserve">Swiss Confederation (OFCOM and FDFA)</t>
  </si>
  <si>
    <t xml:space="preserve">By invitation (accreditation details expected late 2026)</t>
  </si>
  <si>
    <t xml:space="preserve">Geneva, Switzerland</t>
  </si>
  <si>
    <t xml:space="preserve">Swiss government page (OFCOM, fetched Oct 2026) confirms 21-22 June 2027 at Palexpo, Geneva, and links this as the official site. Invitation-only status not confirmed; registration details are in the official site's FAQ.</t>
  </si>
  <si>
    <t xml:space="preserve">EVT-026</t>
  </si>
  <si>
    <t xml:space="preserve">DEF CON 35</t>
  </si>
  <si>
    <t xml:space="preserve">One of the largest hacker conventions, with talks, villages, contests and CTF spanning offensive and defensive security and policy.</t>
  </si>
  <si>
    <t xml:space="preserve">https://defcon.org/</t>
  </si>
  <si>
    <t xml:space="preserve">DEF CON Communications</t>
  </si>
  <si>
    <t xml:space="preserve">At the Las Vegas Convention Center (dates announced on defcon.org). DC35 badge price not yet published.</t>
  </si>
  <si>
    <t xml:space="preserve">EVT-033</t>
  </si>
  <si>
    <t xml:space="preserve">ILTACON 2027</t>
  </si>
  <si>
    <t xml:space="preserve">International Legal Technology Association's annual educational conference for legal technology and operations professionals.</t>
  </si>
  <si>
    <t xml:space="preserve">https://www.iltacon.org/</t>
  </si>
  <si>
    <t xml:space="preserve">International Legal Technology Association (ILTA)</t>
  </si>
  <si>
    <t xml:space="preserve">Nashville, TN, US</t>
  </si>
  <si>
    <t xml:space="preserve">iltacon.org 'Next Year' notice (fetched Oct 2026): 8-12 August 2027 at Gaylord Opryland, Nashville. Registration pricing not yet published.</t>
  </si>
  <si>
    <t xml:space="preserve">EVT-027</t>
  </si>
  <si>
    <t xml:space="preserve">USENIX Security '27</t>
  </si>
  <si>
    <t xml:space="preserve">Symposium</t>
  </si>
  <si>
    <t xml:space="preserve">Leading academic symposium presenting peer-reviewed research on systems, network, web, AI and usable security and privacy.</t>
  </si>
  <si>
    <t xml:space="preserve">https://www.usenix.org/sec27</t>
  </si>
  <si>
    <t xml:space="preserve">Denver, CO, US</t>
  </si>
  <si>
    <t xml:space="preserve">36th USENIX Security Symposium (dates and URL from USENIX calendar of events). Cycle 1 mandatory paper registrations were due 18 Aug 2026.</t>
  </si>
  <si>
    <t xml:space="preserve">EVT-028</t>
  </si>
  <si>
    <t xml:space="preserve">IAPP Privacy. Security. Risk. 2027</t>
  </si>
  <si>
    <t xml:space="preserve">IAPP's North American conference where privacy, security and risk professionals cover technical privacy, security law and AI governance.</t>
  </si>
  <si>
    <t xml:space="preserve">https://www.iapp.org/conference/iapp-psr</t>
  </si>
  <si>
    <t xml:space="preserve">North America</t>
  </si>
  <si>
    <t xml:space="preserve">Vancouver, Canada</t>
  </si>
  <si>
    <t xml:space="preserve">Training 14–15 Sep, workshops 15 Sep, conference 16–17 Sep (IAPP save-the-dates). The 2026 edition was combined with AI Governance Global; 2026 main-conference rates were US$1,445–1,695.</t>
  </si>
  <si>
    <t xml:space="preserve">EVT-029</t>
  </si>
  <si>
    <t xml:space="preserve">SANS Network Security 2027</t>
  </si>
  <si>
    <t xml:space="preserve">SANS autumn training event in Las Vegas with hands-on courses across cyber defence, offensive operations, cloud, forensics and leadership.</t>
  </si>
  <si>
    <t xml:space="preserve">https://www.sans.org/cyber-security-training-events/network-security-2027</t>
  </si>
  <si>
    <t xml:space="preserve">Per course: most 5-6 day courses $8,260-$8,780</t>
  </si>
  <si>
    <t xml:space="preserve">Event page now live on sans.org (Oct 2026): Sep 27-Oct 2, 2027 at Caesars Palace, Las Vegas; in person or Live Online. Courses $3,000-$9,230 (most $8,260-$8,780); certification exams extra.</t>
  </si>
  <si>
    <t xml:space="preserve">EVT-030</t>
  </si>
  <si>
    <t xml:space="preserve">Splunk .conf27</t>
  </si>
  <si>
    <t xml:space="preserve">Splunk's annual user conference on security operations, observability and data analytics, with technical sessions and training.</t>
  </si>
  <si>
    <t xml:space="preserve">https://conf.splunk.com/</t>
  </si>
  <si>
    <t xml:space="preserve">Splunk</t>
  </si>
  <si>
    <t xml:space="preserve">At McCormick Place Convention Center. Registration not yet open; site offers sign-up for notifications.</t>
  </si>
  <si>
    <t xml:space="preserve">EVT-031</t>
  </si>
  <si>
    <t xml:space="preserve">Global Privacy Assembly 2027 (49th Annual Meeting)</t>
  </si>
  <si>
    <t xml:space="preserve">Annual meeting of the world's data protection and privacy authorities, hosted in 2027 by Kenya's Office of the Data Protection Commissioner.</t>
  </si>
  <si>
    <t xml:space="preserve">https://www.odpc.go.ke/?p=5134</t>
  </si>
  <si>
    <t xml:space="preserve">Global Privacy Assembly / ODPC Kenya</t>
  </si>
  <si>
    <t xml:space="preserve">Nairobi, Kenya</t>
  </si>
  <si>
    <t xml:space="preserve">Dates TBA</t>
  </si>
  <si>
    <t xml:space="preserve">Kenya's ODPC won the 2027 hosting bid at GPA 2025 in Seoul. Dates not yet announced; the annual meeting is usually held in October or November.</t>
  </si>
  <si>
    <t xml:space="preserve">RES-001</t>
  </si>
  <si>
    <t xml:space="preserve">Google Scholar</t>
  </si>
  <si>
    <t xml:space="preserve">Research &amp; Trackers</t>
  </si>
  <si>
    <t xml:space="preserve">research</t>
  </si>
  <si>
    <t xml:space="preserve">Search engine</t>
  </si>
  <si>
    <t xml:space="preserve">General; Tech Law</t>
  </si>
  <si>
    <t xml:space="preserve">Free search engine for scholarly literature, including law review articles, US court opinions and technical papers.</t>
  </si>
  <si>
    <t xml:space="preserve">https://scholar.google.com/</t>
  </si>
  <si>
    <t xml:space="preserve">Google</t>
  </si>
  <si>
    <t xml:space="preserve">Kept from existing library. Use the Case law option for US opinions (state appellate/supreme courts since 1950, federal courts since 1923, SCOTUS since 1791).</t>
  </si>
  <si>
    <t xml:space="preserve">RES-002</t>
  </si>
  <si>
    <t xml:space="preserve">data.europa.eu</t>
  </si>
  <si>
    <t xml:space="preserve">Data portal</t>
  </si>
  <si>
    <t xml:space="preserve">General</t>
  </si>
  <si>
    <t xml:space="preserve">Official EU open data portal with datasets from EU institutions and member states, plus data stories and reports.</t>
  </si>
  <si>
    <t xml:space="preserve">https://data.europa.eu/en</t>
  </si>
  <si>
    <t xml:space="preserve">Publications Office of the European Union</t>
  </si>
  <si>
    <t xml:space="preserve">Official EU portal for open data, managed by the Publications Office of the EU.</t>
  </si>
  <si>
    <t xml:space="preserve">RES-003</t>
  </si>
  <si>
    <t xml:space="preserve">United Nations Digital Library</t>
  </si>
  <si>
    <t xml:space="preserve">Document library</t>
  </si>
  <si>
    <t xml:space="preserve">UN repository of resolutions, reports, meeting records and voting data, useful for UN work on cyber, digital and AI issues.</t>
  </si>
  <si>
    <t xml:space="preserve">https://digitallibrary.un.org/</t>
  </si>
  <si>
    <t xml:space="preserve">United Nations Dag Hammarskjöld Library</t>
  </si>
  <si>
    <t xml:space="preserve">Kept from existing library. Linked from the UN Dag Hammarskjöld Library research guides.</t>
  </si>
  <si>
    <t xml:space="preserve">RES-004</t>
  </si>
  <si>
    <t xml:space="preserve">IAPP US State Privacy Legislation Tracker</t>
  </si>
  <si>
    <t xml:space="preserve">Tracker</t>
  </si>
  <si>
    <t xml:space="preserve">Tracks proposed and enacted comprehensive US state consumer privacy bills, excluding narrow measures such as data security laws.</t>
  </si>
  <si>
    <t xml:space="preserve">https://iapp.org/resources/article/us-state-privacy-legislation-tracker</t>
  </si>
  <si>
    <t xml:space="preserve">Membership: US$295/yr</t>
  </si>
  <si>
    <t xml:space="preserve">Last updated 8 Sep 2026. Labeled member-only (preview visible). IAPP Professional membership US$295/yr per IAPP store.</t>
  </si>
  <si>
    <t xml:space="preserve">RES-005</t>
  </si>
  <si>
    <t xml:space="preserve">IAPP Global AI Law and Policy Tracker</t>
  </si>
  <si>
    <t xml:space="preserve">Tracks AI legislation, policy and governance developments across jurisdictions worldwide.</t>
  </si>
  <si>
    <t xml:space="preserve">https://www.iapp.org/resources/article/global-ai-legislation-tracker</t>
  </si>
  <si>
    <t xml:space="preserve">Last updated 6 Oct 2026 (first published Sep 2023). Listed as member content; page links a PDF version.</t>
  </si>
  <si>
    <t xml:space="preserve">RES-006</t>
  </si>
  <si>
    <t xml:space="preserve">IAPP US State AI Governance Legislation Tracker</t>
  </si>
  <si>
    <t xml:space="preserve">Tracks US state bills that broadly govern AI across sectors and apply to private-sector organizations.</t>
  </si>
  <si>
    <t xml:space="preserve">https://iapp.org/resources/article/us-state-ai-governance-legislation-tracker</t>
  </si>
  <si>
    <t xml:space="preserve">Last updated 28 Apr 2026. Labeled member-only.</t>
  </si>
  <si>
    <t xml:space="preserve">RES-007</t>
  </si>
  <si>
    <t xml:space="preserve">IAPP Global Privacy Law and DPA Directory</t>
  </si>
  <si>
    <t xml:space="preserve">Database</t>
  </si>
  <si>
    <t xml:space="preserve">Directory of data protection authorities and privacy laws by country, with links to each authority and law where available.</t>
  </si>
  <si>
    <t xml:space="preserve">https://iapp.org/resources/global-privacy-directory</t>
  </si>
  <si>
    <t xml:space="preserve">No paywall shown at fetch. Described as periodically updated; no last-updated date stated.</t>
  </si>
  <si>
    <t xml:space="preserve">RES-008</t>
  </si>
  <si>
    <t xml:space="preserve">ISACA State of Cybersecurity 2026</t>
  </si>
  <si>
    <t xml:space="preserve">Report</t>
  </si>
  <si>
    <t xml:space="preserve">Annual ISACA survey of cybersecurity professionals on staffing, budgets, operations, AI and the threat landscape.</t>
  </si>
  <si>
    <t xml:space="preserve">https://www.isaca.org/resources/state-of-cybersecurity</t>
  </si>
  <si>
    <t xml:space="preserve">2026 edition (12th annual); related press releases dated 22 Sep 2026. Free copy offered on the page.</t>
  </si>
  <si>
    <t xml:space="preserve">RES-009</t>
  </si>
  <si>
    <t xml:space="preserve">GDPRhub</t>
  </si>
  <si>
    <t xml:space="preserve">Free wiki of GDPR decisions by data protection authorities and courts across Europe, summarised in English.</t>
  </si>
  <si>
    <t xml:space="preserve">https://gdprhub.eu/index.php?title=Welcome_to_GDPRhub</t>
  </si>
  <si>
    <t xml:space="preserve">noyb – European Center for Digital Rights</t>
  </si>
  <si>
    <t xml:space="preserve">Root may redirect to the wiki welcome page.</t>
  </si>
  <si>
    <t xml:space="preserve">RES-010</t>
  </si>
  <si>
    <t xml:space="preserve">CMS GDPR Enforcement Tracker</t>
  </si>
  <si>
    <t xml:space="preserve">Database of fines imposed by EU and EEA data protection authorities under the GDPR, filterable by country, sector and article.</t>
  </si>
  <si>
    <t xml:space="preserve">https://www.enforcementtracker.com/</t>
  </si>
  <si>
    <t xml:space="preserve">CMS</t>
  </si>
  <si>
    <t xml:space="preserve">Searchable database of GDPR fines by EU/EEA DPAs, refreshed continuously. CMS also publishes an annual Enforcement Tracker Report (7th edition, Mar 2026).</t>
  </si>
  <si>
    <t xml:space="preserve">RES-011</t>
  </si>
  <si>
    <t xml:space="preserve">DLA Piper Data Protection Laws of the World</t>
  </si>
  <si>
    <t xml:space="preserve">Comparative guide summarising data protection laws country by country, with side-by-side comparison tools.</t>
  </si>
  <si>
    <t xml:space="preserve">https://dlapiperdataprotection.com/</t>
  </si>
  <si>
    <t xml:space="preserve">DLA Piper</t>
  </si>
  <si>
    <t xml:space="preserve">Covers 160+ jurisdictions; 15th update, now refreshed twice a year. DLA Piper's annual GDPR Fines and Data Breach Survey (January) not listed separately: its URL changes yearly.</t>
  </si>
  <si>
    <t xml:space="preserve">RES-012</t>
  </si>
  <si>
    <t xml:space="preserve">OECD.AI Policy Observatory</t>
  </si>
  <si>
    <t xml:space="preserve">OECD platform tracking national AI policies and strategies, with AI data, metrics and the AI Incidents and Hazards Monitor.</t>
  </si>
  <si>
    <t xml:space="preserve">https://oecd.ai/en/</t>
  </si>
  <si>
    <t xml:space="preserve">Tracks 900+ national AI policies and initiatives, with live AI data and a policy blog.</t>
  </si>
  <si>
    <t xml:space="preserve">RES-013</t>
  </si>
  <si>
    <t xml:space="preserve">Stanford AI Index Report 2026</t>
  </si>
  <si>
    <t xml:space="preserve">Annual Stanford HAI report tracking AI research, technical performance, investment, policy and public opinion.</t>
  </si>
  <si>
    <t xml:space="preserve">https://hai.stanford.edu/ai-index/2026-ai-index-report</t>
  </si>
  <si>
    <t xml:space="preserve">Stanford Institute for Human-Centered AI (HAI)</t>
  </si>
  <si>
    <t xml:space="preserve">Annual, spring release. 2026 edition (9th) released Apr 2026; links to full PDF and chapters. Hub for all editions: hai.stanford.edu/ai-index.</t>
  </si>
  <si>
    <t xml:space="preserve">RES-014</t>
  </si>
  <si>
    <t xml:space="preserve">AI Incident Database</t>
  </si>
  <si>
    <t xml:space="preserve">Open database of real-world incidents in which AI systems caused or nearly caused harm, indexed from news and reports.</t>
  </si>
  <si>
    <t xml:space="preserve">https://incidentdatabase.ai/</t>
  </si>
  <si>
    <t xml:space="preserve">Responsible AI Collaborative</t>
  </si>
  <si>
    <t xml:space="preserve">Crowdsourced database of real-world AI harms and near-misses; a project of the Responsible AI Collaborative.</t>
  </si>
  <si>
    <t xml:space="preserve">RES-015</t>
  </si>
  <si>
    <t xml:space="preserve">Verizon 2026 Data Breach Investigations Report (DBIR)</t>
  </si>
  <si>
    <t xml:space="preserve">Annual analysis of confirmed data breaches and security incidents, covering attack patterns, threat actors and industries.</t>
  </si>
  <si>
    <t xml:space="preserve">https://www.verizon.com/business/resources/reports/dbir/</t>
  </si>
  <si>
    <t xml:space="preserve">Verizon Business</t>
  </si>
  <si>
    <t xml:space="preserve">Annual, spring release. 2026 edition is live on this page (revised May 2026); the PDF downloads directly, no form required.</t>
  </si>
  <si>
    <t xml:space="preserve">RES-016</t>
  </si>
  <si>
    <t xml:space="preserve">IBM Cost of a Data Breach Report 2026</t>
  </si>
  <si>
    <t xml:space="preserve">Annual IBM and Ponemon Institute study estimating data breach costs and the factors that raise or reduce them.</t>
  </si>
  <si>
    <t xml:space="preserve">https://www.ibm.com/reports/data-breach</t>
  </si>
  <si>
    <t xml:space="preserve">IBM / Ponemon Institute</t>
  </si>
  <si>
    <t xml:space="preserve">Annual, mid-year release. 2026 edition published 29 Jul 2026 (global average breach cost $4.99M, per press coverage). Download requires a registration form.</t>
  </si>
  <si>
    <t xml:space="preserve">RES-017</t>
  </si>
  <si>
    <t xml:space="preserve">ENISA Threat Landscape 2026</t>
  </si>
  <si>
    <t xml:space="preserve">ENISA's annual report on the EU cyber threat landscape, covering main threat categories, actors and trends.</t>
  </si>
  <si>
    <t xml:space="preserve">https://www.enisa.europa.eu/publications/enisa-threat-landscape-2026</t>
  </si>
  <si>
    <t xml:space="preserve">ENISA (EU Agency for Cybersecurity)</t>
  </si>
  <si>
    <t xml:space="preserve">Annual, autumn release. 2026 edition published 22 Sep 2026, covering Jan-Dec 2025. Landing URL taken from ENISA's own 2025 page; the 2026 PDF was fetched, the landing page itself was not.</t>
  </si>
  <si>
    <t xml:space="preserve">RES-018</t>
  </si>
  <si>
    <t xml:space="preserve">CISA Cybersecurity Advisories</t>
  </si>
  <si>
    <t xml:space="preserve">CISA feed of alerts, cybersecurity advisories, ICS advisories and analysis reports on active threats and vulnerabilities.</t>
  </si>
  <si>
    <t xml:space="preserve">https://www.cisa.gov/news-events/cybersecurity-advisories</t>
  </si>
  <si>
    <t xml:space="preserve">US Cybersecurity and Infrastructure Security Agency (CISA)</t>
  </si>
  <si>
    <t xml:space="preserve">Lists CISA cybersecurity advisories, alerts and ICS/medical advisories. See also CISA's Known Exploited Vulnerabilities catalog.</t>
  </si>
  <si>
    <t xml:space="preserve">RES-019</t>
  </si>
  <si>
    <t xml:space="preserve">SSRN</t>
  </si>
  <si>
    <t xml:space="preserve">Tech Law; General</t>
  </si>
  <si>
    <t xml:space="preserve">Open repository of research preprints and working papers, including a large Legal Scholarship Network.</t>
  </si>
  <si>
    <t xml:space="preserve">https://www.ssrn.com/index.cfm/en/</t>
  </si>
  <si>
    <t xml:space="preserve">Elsevier</t>
  </si>
  <si>
    <t xml:space="preserve">RES-020</t>
  </si>
  <si>
    <t xml:space="preserve">arXiv (cs.CR and cs.CY)</t>
  </si>
  <si>
    <t xml:space="preserve">Open-access preprint server; cs.CR covers cryptography and security, cs.CY covers computers and society, including AI policy.</t>
  </si>
  <si>
    <t xml:space="preserve">https://arxiv.org/list/cs.CR/recent</t>
  </si>
  <si>
    <t xml:space="preserve">arXiv (Cornell University)</t>
  </si>
  <si>
    <t xml:space="preserve">Computers and Society listing: arxiv.org/list/cs.CY/recent. Preprints are not peer reviewed.</t>
  </si>
  <si>
    <t xml:space="preserve">RES-021</t>
  </si>
  <si>
    <t xml:space="preserve">CourtListener</t>
  </si>
  <si>
    <t xml:space="preserve">Free legal research site with US court opinions, oral argument audio and PACER dockets from the RECAP Archive.</t>
  </si>
  <si>
    <t xml:space="preserve">https://www.courtlistener.com/</t>
  </si>
  <si>
    <t xml:space="preserve">Free Law Project</t>
  </si>
  <si>
    <t xml:space="preserve">Run by the nonprofit Free Law Project; free search of US federal and state court opinions, added daily.</t>
  </si>
  <si>
    <t xml:space="preserve">RES-022</t>
  </si>
  <si>
    <t xml:space="preserve">EUR-Lex</t>
  </si>
  <si>
    <t xml:space="preserve">Tech Law; Privacy; AI; Cybersecurity</t>
  </si>
  <si>
    <t xml:space="preserve">Official database of EU law, including treaties, regulations such as the GDPR and AI Act, directives and EU case law.</t>
  </si>
  <si>
    <t xml:space="preserve">https://eur-lex.europa.eu/</t>
  </si>
  <si>
    <t xml:space="preserve">Official portal for EU law and the Official Journal, run by the EU Publications Office; updated daily.</t>
  </si>
  <si>
    <t xml:space="preserve">RES-023</t>
  </si>
  <si>
    <t xml:space="preserve">Privacy Rights Clearinghouse Data Breach Chronology</t>
  </si>
  <si>
    <t xml:space="preserve">Database of publicly reported US data breaches compiled by Privacy Rights Clearinghouse from government and media sources.</t>
  </si>
  <si>
    <t xml:space="preserve">https://privacyrights.org/data-breaches</t>
  </si>
  <si>
    <t xml:space="preserve">Privacy Rights Clearinghouse</t>
  </si>
  <si>
    <t xml:space="preserve">Online search of breaches; full dataset needs a paid annual subscription (individual or multi-user license, academic discounts; free access possible for some nonprofits/researchers). Free sample files in SQLite/Excel/CSV.</t>
  </si>
  <si>
    <t xml:space="preserve">RES-024</t>
  </si>
  <si>
    <t xml:space="preserve">UNCTAD Data Protection and Privacy Legislation Worldwide</t>
  </si>
  <si>
    <t xml:space="preserve">UNCTAD map and table showing which countries have data protection and privacy legislation in force or in draft.</t>
  </si>
  <si>
    <t xml:space="preserve">https://unctad.org/page/data-protection-and-privacy-legislation-worldwide</t>
  </si>
  <si>
    <t xml:space="preserve">UNCTAD</t>
  </si>
  <si>
    <t xml:space="preserve">Needs check</t>
  </si>
  <si>
    <t xml:space="preserve">Part of UNCTAD's Global Cyberlaw Tracker. Not re-verified this session (shared search budget exhausted; site not fetchable).</t>
  </si>
  <si>
    <t xml:space="preserve">RES-025</t>
  </si>
  <si>
    <t xml:space="preserve">CVE Program</t>
  </si>
  <si>
    <t xml:space="preserve">Catalog of publicly disclosed cybersecurity vulnerabilities with unique CVE identifiers, operated by MITRE with CISA sponsorship.</t>
  </si>
  <si>
    <t xml:space="preserve">https://www.cve.org/</t>
  </si>
  <si>
    <t xml:space="preserve">CVE Program (MITRE, CISA-sponsored)</t>
  </si>
  <si>
    <t xml:space="preserve">Official CVE Program site; successor to cve.mitre.org, whose old content is archived on cve.org.</t>
  </si>
  <si>
    <t xml:space="preserve">RES-026</t>
  </si>
  <si>
    <t xml:space="preserve">AlgorithmWatch</t>
  </si>
  <si>
    <t xml:space="preserve">Research center</t>
  </si>
  <si>
    <t xml:space="preserve">Berlin-based nonprofit that researches and reports on automated decision-making systems and their effects on society.</t>
  </si>
  <si>
    <t xml:space="preserve">https://algorithmwatch.org/en/</t>
  </si>
  <si>
    <t xml:space="preserve">Non-profit research and advocacy organisation on algorithmic decision-making and AI; Swiss office at algorithmwatch.ch.</t>
  </si>
  <si>
    <t xml:space="preserve">RES-027</t>
  </si>
  <si>
    <t xml:space="preserve">Georgetown CSET</t>
  </si>
  <si>
    <t xml:space="preserve">Georgetown University think tank producing data-driven research on AI, emerging technology and national security policy.</t>
  </si>
  <si>
    <t xml:space="preserve">https://cset.georgetown.edu/</t>
  </si>
  <si>
    <t xml:space="preserve">Center for Security and Emerging Technology, Georgetown University</t>
  </si>
  <si>
    <t xml:space="preserve">Georgetown Walsh School of Foreign Service center for policy research on AI and emerging technology security.</t>
  </si>
  <si>
    <t xml:space="preserve">NWS-001</t>
  </si>
  <si>
    <t xml:space="preserve">IAPP Daily Dashboard</t>
  </si>
  <si>
    <t xml:space="preserve">Newsletters &amp; News</t>
  </si>
  <si>
    <t xml:space="preserve">news</t>
  </si>
  <si>
    <t xml:space="preserve">Newsletter</t>
  </si>
  <si>
    <t xml:space="preserve">Daily email digest of global privacy and data protection news from the IAPP.</t>
  </si>
  <si>
    <t xml:space="preserve">https://iapp.org/news/subscriptions</t>
  </si>
  <si>
    <t xml:space="preserve">International Association of Privacy Professionals (IAPP)</t>
  </si>
  <si>
    <t xml:space="preserve">Email</t>
  </si>
  <si>
    <t xml:space="preserve">Weekday (Mon-Fri) digest of privacy, AI governance and digital responsibility headlines. IAPP also runs a weekly AI Governance Dashboard and regional digests. Free IAPP account needed to subscribe; some content member-only. URL is IAPP's newsletter page.</t>
  </si>
  <si>
    <t xml:space="preserve">NWS-002</t>
  </si>
  <si>
    <t xml:space="preserve">Lawfare</t>
  </si>
  <si>
    <t xml:space="preserve">News site</t>
  </si>
  <si>
    <t xml:space="preserve">Tech Law; Cybersecurity; General</t>
  </si>
  <si>
    <t xml:space="preserve">Analysis of national security law and policy, including cybersecurity, surveillance and AI.</t>
  </si>
  <si>
    <t xml:space="preserve">https://www.lawfaremedia.org/</t>
  </si>
  <si>
    <t xml:space="preserve">The Lawfare Institute</t>
  </si>
  <si>
    <t xml:space="preserve">United States</t>
  </si>
  <si>
    <t xml:space="preserve">Daily articles; free email newsletters available.</t>
  </si>
  <si>
    <t xml:space="preserve">NWS-003</t>
  </si>
  <si>
    <t xml:space="preserve">Tech Policy Press</t>
  </si>
  <si>
    <t xml:space="preserve">Tech Law; AI; Privacy</t>
  </si>
  <si>
    <t xml:space="preserve">Nonprofit publication covering technology policy, platform governance, AI regulation and democracy.</t>
  </si>
  <si>
    <t xml:space="preserve">https://www.techpolicy.press/</t>
  </si>
  <si>
    <t xml:space="preserve">Daily articles, newsletter and podcast (The Sunday Show). Nonprofit publication.</t>
  </si>
  <si>
    <t xml:space="preserve">NWS-004</t>
  </si>
  <si>
    <t xml:space="preserve">The Record by Recorded Future News</t>
  </si>
  <si>
    <t xml:space="preserve">Cybersecurity news covering cybercrime, nation-state hacking, and surveillance and privacy policy.</t>
  </si>
  <si>
    <t xml:space="preserve">https://therecord.media/</t>
  </si>
  <si>
    <t xml:space="preserve">Recorded Future News</t>
  </si>
  <si>
    <t xml:space="preserve">Daily reporting; editorially independent unit of Recorded Future.</t>
  </si>
  <si>
    <t xml:space="preserve">NWS-005</t>
  </si>
  <si>
    <t xml:space="preserve">Krebs on Security</t>
  </si>
  <si>
    <t xml:space="preserve">Blog</t>
  </si>
  <si>
    <t xml:space="preserve">Investigative reporting on cybercrime, data breaches and fraud by journalist Brian Krebs.</t>
  </si>
  <si>
    <t xml:space="preserve">https://krebsonsecurity.com/</t>
  </si>
  <si>
    <t xml:space="preserve">Brian Krebs</t>
  </si>
  <si>
    <t xml:space="preserve">Several in-depth posts per month.</t>
  </si>
  <si>
    <t xml:space="preserve">NWS-006</t>
  </si>
  <si>
    <t xml:space="preserve">Dark Reading</t>
  </si>
  <si>
    <t xml:space="preserve">Cybersecurity news and analysis for security professionals.</t>
  </si>
  <si>
    <t xml:space="preserve">https://www.darkreading.com/</t>
  </si>
  <si>
    <t xml:space="preserve">Informa TechTarget</t>
  </si>
  <si>
    <t xml:space="preserve">Daily; free email newsletters. Part of Informa TechTarget.</t>
  </si>
  <si>
    <t xml:space="preserve">NWS-007</t>
  </si>
  <si>
    <t xml:space="preserve">BleepingComputer</t>
  </si>
  <si>
    <t xml:space="preserve">Daily news on ransomware, vulnerabilities, data breaches and malware, plus technical guides.</t>
  </si>
  <si>
    <t xml:space="preserve">https://www.bleepingcomputer.com/</t>
  </si>
  <si>
    <t xml:space="preserve">Daily.</t>
  </si>
  <si>
    <t xml:space="preserve">NWS-008</t>
  </si>
  <si>
    <t xml:space="preserve">Risky Bulletin</t>
  </si>
  <si>
    <t xml:space="preserve">Cybersecurity news newsletter summarizing breaches, threats and policy developments.</t>
  </si>
  <si>
    <t xml:space="preserve">https://news.risky.biz/</t>
  </si>
  <si>
    <t xml:space="preserve">Risky Business Media</t>
  </si>
  <si>
    <t xml:space="preserve">Written by Catalin Cimpanu; three issues per week, with a companion podcast feed. Published by Risky Business Media.</t>
  </si>
  <si>
    <t xml:space="preserve">NWS-009</t>
  </si>
  <si>
    <t xml:space="preserve">CyberScoop</t>
  </si>
  <si>
    <t xml:space="preserve">News on cybersecurity policy, government, and threat activity.</t>
  </si>
  <si>
    <t xml:space="preserve">https://cyberscoop.com/</t>
  </si>
  <si>
    <t xml:space="preserve">Scoop News Group</t>
  </si>
  <si>
    <t xml:space="preserve">Daily; US federal policy focus.</t>
  </si>
  <si>
    <t xml:space="preserve">NWS-010</t>
  </si>
  <si>
    <t xml:space="preserve">Schneier on Security</t>
  </si>
  <si>
    <t xml:space="preserve">Bruce Schneier's blog and monthly Crypto-Gram newsletter on security, privacy and technology policy.</t>
  </si>
  <si>
    <t xml:space="preserve">https://www.schneier.com/</t>
  </si>
  <si>
    <t xml:space="preserve">Bruce Schneier</t>
  </si>
  <si>
    <t xml:space="preserve">Near-daily blog posts; Crypto-Gram email newsletter monthly.</t>
  </si>
  <si>
    <t xml:space="preserve">NWS-011</t>
  </si>
  <si>
    <t xml:space="preserve">Import AI</t>
  </si>
  <si>
    <t xml:space="preserve">Weekly newsletter summarizing notable AI research and its policy implications.</t>
  </si>
  <si>
    <t xml:space="preserve">https://importai.substack.com/</t>
  </si>
  <si>
    <t xml:space="preserve">Jack Clark</t>
  </si>
  <si>
    <t xml:space="preserve">Weekly, by Jack Clark (Anthropic co-founder). Free to subscribe; optional paid tier adds commenting and early access to some essays.</t>
  </si>
  <si>
    <t xml:space="preserve">NWS-012</t>
  </si>
  <si>
    <t xml:space="preserve">Transformer</t>
  </si>
  <si>
    <t xml:space="preserve">Newsletter on AI policy, regulation and the AI industry.</t>
  </si>
  <si>
    <t xml:space="preserve">https://www.transformernews.ai/</t>
  </si>
  <si>
    <t xml:space="preserve">Edited by Shakeel Hashim; Transformer Weekly briefing plus articles and opinion.</t>
  </si>
  <si>
    <t xml:space="preserve">NWS-013</t>
  </si>
  <si>
    <t xml:space="preserve">The EU AI Act Newsletter</t>
  </si>
  <si>
    <t xml:space="preserve">Biweekly updates on implementation of the EU AI Act, guidance and enforcement.</t>
  </si>
  <si>
    <t xml:space="preserve">https://artificialintelligenceact.substack.com/</t>
  </si>
  <si>
    <t xml:space="preserve">Future of Life Institute</t>
  </si>
  <si>
    <t xml:space="preserve">European Union</t>
  </si>
  <si>
    <t xml:space="preserve">Edited by Risto Uuk (FLI); biweekly, with an audio/podcast edition.</t>
  </si>
  <si>
    <t xml:space="preserve">NWS-014</t>
  </si>
  <si>
    <t xml:space="preserve">MLex</t>
  </si>
  <si>
    <t xml:space="preserve">Subscription regulatory news service covering data privacy, AI, cybersecurity, antitrust and digital regulation.</t>
  </si>
  <si>
    <t xml:space="preserve">https://www.mlex.com/</t>
  </si>
  <si>
    <t xml:space="preserve">MLex (LexisNexis)</t>
  </si>
  <si>
    <t xml:space="preserve">Paid (subscription)</t>
  </si>
  <si>
    <t xml:space="preserve">Paid professional regulatory news service (LexisNexis) with daily alerts; 14-day free trial available.</t>
  </si>
  <si>
    <t xml:space="preserve">NWS-015</t>
  </si>
  <si>
    <t xml:space="preserve">Euractiv</t>
  </si>
  <si>
    <t xml:space="preserve">EU policy news outlet with a technology section on digital regulation, AI and data rules.</t>
  </si>
  <si>
    <t xml:space="preserve">https://www.euractiv.com/</t>
  </si>
  <si>
    <t xml:space="preserve">Daily; tech newsletter free, Euractiv Pro paid. URL is the homepage; use the Tech section. URL recalled, not fetched (WebSearch budget exhausted).</t>
  </si>
  <si>
    <t xml:space="preserve">NWS-016</t>
  </si>
  <si>
    <t xml:space="preserve">Privacy Matters (DLA Piper)</t>
  </si>
  <si>
    <t xml:space="preserve">Law firm blog on global data protection, privacy and cybersecurity developments.</t>
  </si>
  <si>
    <t xml:space="preserve">https://privacymatters.dlapiper.com/</t>
  </si>
  <si>
    <t xml:space="preserve">Regular posts by DLA Piper's data protection team (editors Andrew Serwin, Carolyn Bigg, John Magee).</t>
  </si>
  <si>
    <t xml:space="preserve">NWS-017</t>
  </si>
  <si>
    <t xml:space="preserve">Privacy &amp; Cybersecurity Law Blog (Hunton)</t>
  </si>
  <si>
    <t xml:space="preserve">Law firm blog on global privacy and cybersecurity law developments.</t>
  </si>
  <si>
    <t xml:space="preserve">https://www.hunton.com/privacy-and-cybersecurity-law-blog/</t>
  </si>
  <si>
    <t xml:space="preserve">Hunton Andrews Kurth</t>
  </si>
  <si>
    <t xml:space="preserve">Frequent posts (several per week). Hunton Andrews Kurth's blog, now named Privacy &amp; Cybersecurity Law Blog; formerly the Privacy &amp; Information Security Law Blog at huntonprivacyblog.com.</t>
  </si>
  <si>
    <t xml:space="preserve">NWS-018</t>
  </si>
  <si>
    <t xml:space="preserve">Inside Privacy (Covington)</t>
  </si>
  <si>
    <t xml:space="preserve">Law firm blog on privacy, data security and AI legal developments in the US, EU and beyond.</t>
  </si>
  <si>
    <t xml:space="preserve">https://www.insideprivacy.com/</t>
  </si>
  <si>
    <t xml:space="preserve">Covington &amp; Burling</t>
  </si>
  <si>
    <t xml:space="preserve">Regular posts by Covington's Data Privacy and Cybersecurity practice.</t>
  </si>
  <si>
    <t xml:space="preserve">NWS-019</t>
  </si>
  <si>
    <t xml:space="preserve">noyb News</t>
  </si>
  <si>
    <t xml:space="preserve">Updates on GDPR complaints, litigation and enforcement from the privacy advocacy group noyb.</t>
  </si>
  <si>
    <t xml:space="preserve">https://noyb.eu/en/news</t>
  </si>
  <si>
    <t xml:space="preserve">Founded by Max Schrems; posts on new cases and decisions.</t>
  </si>
  <si>
    <t xml:space="preserve">NWS-020</t>
  </si>
  <si>
    <t xml:space="preserve">TechCabal</t>
  </si>
  <si>
    <t xml:space="preserve">News on African technology, startups and tech policy, including data protection and regulation.</t>
  </si>
  <si>
    <t xml:space="preserve">https://techcabal.com/</t>
  </si>
  <si>
    <t xml:space="preserve">Daily; free 'TC Daily' newsletter.</t>
  </si>
  <si>
    <t xml:space="preserve">NWS-021</t>
  </si>
  <si>
    <t xml:space="preserve">Techpoint Africa</t>
  </si>
  <si>
    <t xml:space="preserve">News on African tech, startups and policy, with strong Nigeria coverage.</t>
  </si>
  <si>
    <t xml:space="preserve">https://techpoint.africa/</t>
  </si>
  <si>
    <t xml:space="preserve">Daily; free weekday Techpoint Digest newsletter.</t>
  </si>
  <si>
    <t xml:space="preserve">NWS-022</t>
  </si>
  <si>
    <t xml:space="preserve">Platformer</t>
  </si>
  <si>
    <t xml:space="preserve">Tech Law; AI; General</t>
  </si>
  <si>
    <t xml:space="preserve">Newsletter on big tech platforms, content moderation, AI and tech policy.</t>
  </si>
  <si>
    <t xml:space="preserve">https://www.platformer.news/</t>
  </si>
  <si>
    <t xml:space="preserve">Casey Newton</t>
  </si>
  <si>
    <t xml:space="preserve">Several issues per week; some posts paywalled.</t>
  </si>
  <si>
    <t xml:space="preserve">POD-001</t>
  </si>
  <si>
    <t xml:space="preserve">The Data Protection Breakfast Club with Andy &amp; Pedro</t>
  </si>
  <si>
    <t xml:space="preserve">Podcasts</t>
  </si>
  <si>
    <t xml:space="preserve">podcasts</t>
  </si>
  <si>
    <t xml:space="preserve">Podcast</t>
  </si>
  <si>
    <t xml:space="preserve">Privacy; Tech Law; AI</t>
  </si>
  <si>
    <t xml:space="preserve">Interviews with general counsel, privacy officers and policy leaders on privacy, data and technology law.</t>
  </si>
  <si>
    <t xml:space="preserve">https://podcasts.apple.com/us/podcast/the-data-protection-breakfast-club-with-andy-pedro/id1559290322</t>
  </si>
  <si>
    <t xml:space="preserve">The L Suite</t>
  </si>
  <si>
    <t xml:space="preserve">Audio</t>
  </si>
  <si>
    <t xml:space="preserve">Hosts Andy Dale (OpenAP) and Pedro Pavón (Meta). Roughly biweekly; latest episode Oct 21, 2026 per Apple Podcasts.</t>
  </si>
  <si>
    <t xml:space="preserve">POD-002</t>
  </si>
  <si>
    <t xml:space="preserve">AI &amp; Data Democratization Podcast</t>
  </si>
  <si>
    <t xml:space="preserve">Conversations on data innovation, AI, privacy regulation, fairness and synthetic data.</t>
  </si>
  <si>
    <t xml:space="preserve">https://www.buzzsprout.com/1614655</t>
  </si>
  <si>
    <t xml:space="preserve">MOSTLY AI</t>
  </si>
  <si>
    <t xml:space="preserve">Listed in Notion as 'Data Democratization Podcast'; show is now titled 'AI &amp; Data Democratization Podcast'. Host Alexandra Ebert. Irregular: ep 53 on Mar 27, 2026; ep 52 on Jun 6, 2025.</t>
  </si>
  <si>
    <t xml:space="preserve">POD-003</t>
  </si>
  <si>
    <t xml:space="preserve">Serious Privacy</t>
  </si>
  <si>
    <t xml:space="preserve">Unscripted commentary and interviews on privacy, data protection, GDPR, cyber law and AI.</t>
  </si>
  <si>
    <t xml:space="preserve">https://podcasts.apple.com/us/podcast/serious-privacy/id1497388342</t>
  </si>
  <si>
    <t xml:space="preserve">Hosts Dr. K Royal, Paul Breitbarth and Ralph O'Brien. Weekly 'week in privacy' episodes plus interviews; latest episode late Oct 2026.</t>
  </si>
  <si>
    <t xml:space="preserve">POD-004</t>
  </si>
  <si>
    <t xml:space="preserve">"The Data Diva" Talks Privacy Podcast</t>
  </si>
  <si>
    <t xml:space="preserve">Interviews with privacy and technology leaders on data privacy, regulation, AI and emerging tech.</t>
  </si>
  <si>
    <t xml:space="preserve">https://podcasts.apple.com/us/podcast/the-data-diva-talks-privacy-podcast/id1559159451</t>
  </si>
  <si>
    <t xml:space="preserve">Debbie Reynolds Consulting</t>
  </si>
  <si>
    <t xml:space="preserve">Host Debbie Reynolds ('The Data Diva'). Weekly; episode E308 released late Oct 2026.</t>
  </si>
  <si>
    <t xml:space="preserve">POD-005</t>
  </si>
  <si>
    <t xml:space="preserve">The Privacy Advisor Podcast</t>
  </si>
  <si>
    <t xml:space="preserve">IAPP interviews with privacy professionals and thought leaders on technology, law, policy and the profession.</t>
  </si>
  <si>
    <t xml:space="preserve">https://podcasts.apple.com/us/podcast/the-privacy-advisor-podcast/id1095382766</t>
  </si>
  <si>
    <t xml:space="preserve">Host Jedidiah Bracy, IAPP Editorial Director. Irregular cadence in 2026: Apr 10, Jun 25 and Oct 28.</t>
  </si>
  <si>
    <t xml:space="preserve">POD-006</t>
  </si>
  <si>
    <t xml:space="preserve">Data Privacy Unlocked</t>
  </si>
  <si>
    <t xml:space="preserve">Archive of interviews with US state lawmakers and officials who drafted or enforce state consumer privacy laws.</t>
  </si>
  <si>
    <t xml:space="preserve">https://huschblackwell.com/data-privacy-unlocked-state-privacy-podcast</t>
  </si>
  <si>
    <t xml:space="preserve">Husch Blackwell</t>
  </si>
  <si>
    <t xml:space="preserve">Inactive</t>
  </si>
  <si>
    <t xml:space="preserve">Host David Stauss. Inactive: 19 episodes; last (Texas Rep. Giovanni Capriglione) on Mar 27, 2023 per Husch Blackwell's Byte Back blog. Kept for legislative-history value.</t>
  </si>
  <si>
    <t xml:space="preserve">POD-007</t>
  </si>
  <si>
    <t xml:space="preserve">Caveat</t>
  </si>
  <si>
    <t xml:space="preserve">Cybersecurity; Privacy; Tech Law</t>
  </si>
  <si>
    <t xml:space="preserve">Weekly conversation on surveillance, digital privacy, and cybersecurity law and policy.</t>
  </si>
  <si>
    <t xml:space="preserve">https://thecyberwire.com/podcasts/caveat</t>
  </si>
  <si>
    <t xml:space="preserve">N2K CyberWire</t>
  </si>
  <si>
    <t xml:space="preserve">Hosts Dave Bittner and Ben Yelin. Weekly; ep 330 on Oct 22, 2026.</t>
  </si>
  <si>
    <t xml:space="preserve">POD-008</t>
  </si>
  <si>
    <t xml:space="preserve">Privacy Please</t>
  </si>
  <si>
    <t xml:space="preserve">Discussions with experts, academics and activists that explain data privacy and security topics.</t>
  </si>
  <si>
    <t xml:space="preserve">https://privacypleasepodcast.buzzsprout.com/622234</t>
  </si>
  <si>
    <t xml:space="preserve">The Problem Lounge</t>
  </si>
  <si>
    <t xml:space="preserve">Hosts Cameron Ivey and Gabe Gumbs. Every 2-3 weeks; S7 E279 on Sep 28, 2026.</t>
  </si>
  <si>
    <t xml:space="preserve">POD-009</t>
  </si>
  <si>
    <t xml:space="preserve">Risky Business</t>
  </si>
  <si>
    <t xml:space="preserve">Weekly information security news and interviews, running since 2007.</t>
  </si>
  <si>
    <t xml:space="preserve">https://podcasts.apple.com/us/podcast/risky-business/id216478078</t>
  </si>
  <si>
    <t xml:space="preserve">Hosts Patrick Gray and Adam Boileau, with James Wilson. Weekly; #857 released ~Oct 28, 2026. Verified via Apple /mu/ storefront page (same show ID). Official site: risky.biz.</t>
  </si>
  <si>
    <t xml:space="preserve">POD-010</t>
  </si>
  <si>
    <t xml:space="preserve">Darknet Diaries</t>
  </si>
  <si>
    <t xml:space="preserve">Narrative episodes on true stories of hacking, data breaches, cybercrime and the darker side of the internet.</t>
  </si>
  <si>
    <t xml:space="preserve">https://darknetdiaries.com/</t>
  </si>
  <si>
    <t xml:space="preserve">Jack Rhysider</t>
  </si>
  <si>
    <t xml:space="preserve">Host Jack Rhysider. Roughly biweekly/monthly since 2017. Official site verified Oct 2026; latest episode EP 181 'Ricky' (Oct 20, 2026).</t>
  </si>
  <si>
    <t xml:space="preserve">POD-011</t>
  </si>
  <si>
    <t xml:space="preserve">Security Now</t>
  </si>
  <si>
    <t xml:space="preserve">Long-running weekly show explaining security vulnerabilities, threats and privacy technology in technical depth.</t>
  </si>
  <si>
    <t xml:space="preserve">https://twit.tv/shows/security-now</t>
  </si>
  <si>
    <t xml:space="preserve">TWiT</t>
  </si>
  <si>
    <t xml:space="preserve">Hosts Steve Gibson and Leo Laporte. Weekly on Tuesdays; ep 1102 on Oct 27, 2026.</t>
  </si>
  <si>
    <t xml:space="preserve">POD-012</t>
  </si>
  <si>
    <t xml:space="preserve">CyberWire Daily</t>
  </si>
  <si>
    <t xml:space="preserve">Weekday cybersecurity news briefing with analysis and interviews.</t>
  </si>
  <si>
    <t xml:space="preserve">https://thecyberwire.com/podcasts/daily-podcast</t>
  </si>
  <si>
    <t xml:space="preserve">Host Dave Bittner. Monday-Friday; ep 2665 on Oct 27, 2026.</t>
  </si>
  <si>
    <t xml:space="preserve">POD-013</t>
  </si>
  <si>
    <t xml:space="preserve">Lawfare Daily</t>
  </si>
  <si>
    <t xml:space="preserve">Daily interviews on national security law and policy, including cybersecurity, surveillance and technology.</t>
  </si>
  <si>
    <t xml:space="preserve">https://www.lawfaremedia.org/podcast</t>
  </si>
  <si>
    <t xml:space="preserve">Formerly 'The Lawfare Podcast'. Daily, produced with the Brookings Institution. URL is Lawfare's podcast index (also lists Rational Security, Scaling Laws).</t>
  </si>
  <si>
    <t xml:space="preserve">POD-014</t>
  </si>
  <si>
    <t xml:space="preserve">Scaling Laws</t>
  </si>
  <si>
    <t xml:space="preserve">Interviews and rapid-response analysis on AI policy, regulation and law.</t>
  </si>
  <si>
    <t xml:space="preserve">https://podcasts.apple.com/us/podcast/id1607949880</t>
  </si>
  <si>
    <t xml:space="preserve">Lawfare &amp; University of Texas School of Law</t>
  </si>
  <si>
    <t xml:space="preserve">Hosts Alan Rozenshtein and Kevin Frazier. Weekly since Jul 2025. Its feed appears to carry the archive of Lawfare's Arbiters of Truth (online speech series, last eps ~Mar 2024).</t>
  </si>
  <si>
    <t xml:space="preserve">POD-015</t>
  </si>
  <si>
    <t xml:space="preserve">Hard Fork</t>
  </si>
  <si>
    <t xml:space="preserve">Weekly New York Times show on technology news, AI and the tech industry.</t>
  </si>
  <si>
    <t xml:space="preserve">https://podcasts.apple.com/us/podcast/hard-fork/id1528594034</t>
  </si>
  <si>
    <t xml:space="preserve">The New York Times</t>
  </si>
  <si>
    <t xml:space="preserve">Hosts Kevin Roose and Casey Newton (recent episodes used guest hosts). Weekly; latest episode ~Oct 23, 2026.</t>
  </si>
  <si>
    <t xml:space="preserve">POD-016</t>
  </si>
  <si>
    <t xml:space="preserve">Practical AI</t>
  </si>
  <si>
    <t xml:space="preserve">Discussions on applying machine learning and AI in practice, including agents, security and deployment.</t>
  </si>
  <si>
    <t xml:space="preserve">https://podcasts.apple.com/ca/podcast/practical-ai/id1406537385</t>
  </si>
  <si>
    <t xml:space="preserve">Practical AI LLC</t>
  </si>
  <si>
    <t xml:space="preserve">Hosts Daniel Whitenack and Chris Benson. Weekly; latest episode Oct 29, 2026. Formerly part of the Changelog network.</t>
  </si>
  <si>
    <t xml:space="preserve">POD-017</t>
  </si>
  <si>
    <t xml:space="preserve">The AI Policy Podcast</t>
  </si>
  <si>
    <t xml:space="preserve">CSIS discussion of AI policy, national security, regulation and geopolitics.</t>
  </si>
  <si>
    <t xml:space="preserve">https://www.csis.org/podcasts/ai-policy-podcast</t>
  </si>
  <si>
    <t xml:space="preserve">CSIS Wadhwani AI Center</t>
  </si>
  <si>
    <t xml:space="preserve">Hosts Aalok Mehta and Nicole Errera (earlier episodes hosted by Gregory Allen). Every two weeks; latest Oct 22, 2026.</t>
  </si>
  <si>
    <t xml:space="preserve">POD-018</t>
  </si>
  <si>
    <t xml:space="preserve">Your Undivided Attention</t>
  </si>
  <si>
    <t xml:space="preserve">Examines how technology, especially AI and social media, affects society, attention and democracy.</t>
  </si>
  <si>
    <t xml:space="preserve">https://podcasts.apple.com/gb/podcast/your-undivided-attention/id1460030305</t>
  </si>
  <si>
    <t xml:space="preserve">Center for Humane Technology</t>
  </si>
  <si>
    <t xml:space="preserve">Hosts Tristan Harris and Aza Raskin. Fortnightly with bonus episodes; latest late Oct 2026.</t>
  </si>
  <si>
    <t xml:space="preserve">POD-019</t>
  </si>
  <si>
    <t xml:space="preserve">Unsupervised Learning</t>
  </si>
  <si>
    <t xml:space="preserve">Commentary on trends in cybersecurity, national security and AI.</t>
  </si>
  <si>
    <t xml:space="preserve">https://podcasts.apple.com/podcast/id1099711235</t>
  </si>
  <si>
    <t xml:space="preserve">Daniel Miessler</t>
  </si>
  <si>
    <t xml:space="preserve">Host Daniel Miessler. Irregular; latest episode Sep 17, 2026. Companion newsletter at danielmiessler.com.</t>
  </si>
  <si>
    <t xml:space="preserve">POD-020</t>
  </si>
  <si>
    <t xml:space="preserve">Click Here</t>
  </si>
  <si>
    <t xml:space="preserve">Cybersecurity; Privacy; General</t>
  </si>
  <si>
    <t xml:space="preserve">Reported stories on cyber, intelligence, disinformation and how technology shapes society.</t>
  </si>
  <si>
    <t xml:space="preserve">https://therecord.media/podcast</t>
  </si>
  <si>
    <t xml:space="preserve">Recorded Future News (The Record)</t>
  </si>
  <si>
    <t xml:space="preserve">Host Dina Temple-Raston. Weekly (Tuesdays) plus extra episodes; latest ~Oct 28, 2026 per Apple Podcasts.</t>
  </si>
  <si>
    <t xml:space="preserve">BKS-001</t>
  </si>
  <si>
    <t xml:space="preserve">The Right to Privacy — Samuel D. Warren &amp; Louis D. Brandeis (1890)</t>
  </si>
  <si>
    <t xml:space="preserve">Books &amp; Literature</t>
  </si>
  <si>
    <t xml:space="preserve">books</t>
  </si>
  <si>
    <t xml:space="preserve">Article</t>
  </si>
  <si>
    <t xml:space="preserve">Foundational law review article arguing for a legal 'right to be let alone' in response to photography and the press.</t>
  </si>
  <si>
    <t xml:space="preserve">https://www.jstor.org/stable/1321160</t>
  </si>
  <si>
    <t xml:space="preserve">Harvard Law Review</t>
  </si>
  <si>
    <t xml:space="preserve">Harvard Law Review vol. 4, no. 5 (Dec. 15, 1890), pp. 193-220. JSTOR stable URL; free full text also on Wikisource.</t>
  </si>
  <si>
    <t xml:space="preserve">BKS-002</t>
  </si>
  <si>
    <t xml:space="preserve">The Age of Surveillance Capitalism — Shoshana Zuboff (2019)</t>
  </si>
  <si>
    <t xml:space="preserve">Book</t>
  </si>
  <si>
    <t xml:space="preserve">Argues tech firms extract personal behavioral data to predict and shape behavior, threatening autonomy and democracy.</t>
  </si>
  <si>
    <t xml:space="preserve">https://www.hachettebookgroup.com/titles/shoshana-zuboff/the-age-of-surveillance-capitalism/9781610395694/?lens=publicaffairs</t>
  </si>
  <si>
    <t xml:space="preserve">PublicAffairs</t>
  </si>
  <si>
    <t xml:space="preserve">Print/ebook</t>
  </si>
  <si>
    <t xml:space="preserve">Hardcover 2019 (PublicAffairs, US; Profile Books, UK).</t>
  </si>
  <si>
    <t xml:space="preserve">BKS-003</t>
  </si>
  <si>
    <t xml:space="preserve">Privacy in Context — Helen Nissenbaum (2009)</t>
  </si>
  <si>
    <t xml:space="preserve">Develops 'contextual integrity': privacy as appropriate information flows that respect the norms of their social context.</t>
  </si>
  <si>
    <t xml:space="preserve">https://www.sup.org/books/law/privacy-context</t>
  </si>
  <si>
    <t xml:space="preserve">Stanford University Press</t>
  </si>
  <si>
    <t xml:space="preserve">Stanford Law Books (Stanford University Press). SUP's own citation and library catalogs give 2009 (c2009); some listings say 2010.</t>
  </si>
  <si>
    <t xml:space="preserve">BKS-004</t>
  </si>
  <si>
    <t xml:space="preserve">Understanding Privacy — Daniel J. Solove (2008)</t>
  </si>
  <si>
    <t xml:space="preserve">Proposes a pluralistic taxonomy of privacy problems instead of a single definition of privacy.</t>
  </si>
  <si>
    <t xml:space="preserve">https://www.hup.harvard.edu/books/9780674035072</t>
  </si>
  <si>
    <t xml:space="preserve">Harvard University Press</t>
  </si>
  <si>
    <t xml:space="preserve">Harvard University Press, 2008 (confirmed via Wikipedia).</t>
  </si>
  <si>
    <t xml:space="preserve">BKS-005</t>
  </si>
  <si>
    <t xml:space="preserve">Privacy's Blueprint — Woodrow Hartzog (2018)</t>
  </si>
  <si>
    <t xml:space="preserve">Argues privacy law should regulate the design of technologies, not just data practices and notices.</t>
  </si>
  <si>
    <t xml:space="preserve">https://www.hup.harvard.edu/books/9780674976009</t>
  </si>
  <si>
    <t xml:space="preserve">Subtitle: The Battle to Control the Design of New Technologies. Harvard University Press, April 2018.</t>
  </si>
  <si>
    <t xml:space="preserve">BKS-006</t>
  </si>
  <si>
    <t xml:space="preserve">Obfuscation: A User's Guide for Privacy and Protest — Finn Brunton &amp; Helen Nissenbaum (2015)</t>
  </si>
  <si>
    <t xml:space="preserve">Examines obfuscation, adding noise or misleading data, as a tactic for resisting surveillance and its ethics.</t>
  </si>
  <si>
    <t xml:space="preserve">https://mitpress.mit.edu/9780262529860/obfuscation/</t>
  </si>
  <si>
    <t xml:space="preserve">MIT Press</t>
  </si>
  <si>
    <t xml:space="preserve">MIT Press, 2015 (hardcover; paperback 2016).</t>
  </si>
  <si>
    <t xml:space="preserve">BKS-007</t>
  </si>
  <si>
    <t xml:space="preserve">Dragnet Nation — Julia Angwin (2014)</t>
  </si>
  <si>
    <t xml:space="preserve">A journalist documents pervasive government and commercial tracking and her own attempts to evade it.</t>
  </si>
  <si>
    <t xml:space="preserve">https://us.macmillan.com/books/9781250060860/dragnetnation/</t>
  </si>
  <si>
    <t xml:space="preserve">Times Books (Henry Holt)</t>
  </si>
  <si>
    <t xml:space="preserve">Subtitle: A Quest for Privacy, Security, and Freedom in a World of Relentless Surveillance.</t>
  </si>
  <si>
    <t xml:space="preserve">BKS-008</t>
  </si>
  <si>
    <t xml:space="preserve">Data and Goliath — Bruce Schneier (2015)</t>
  </si>
  <si>
    <t xml:space="preserve">Explains how governments and corporations collect and use personal data, and proposes legal and technical reforms.</t>
  </si>
  <si>
    <t xml:space="preserve">https://wwnorton.com/books/9780393352177</t>
  </si>
  <si>
    <t xml:space="preserve">W. W. Norton</t>
  </si>
  <si>
    <t xml:space="preserve">BKS-009</t>
  </si>
  <si>
    <t xml:space="preserve">Information Privacy Law — Daniel J. Solove &amp; Paul M. Schwartz (8th ed., 2024)</t>
  </si>
  <si>
    <t xml:space="preserve">Casebook</t>
  </si>
  <si>
    <t xml:space="preserve">Law school casebook covering US and international information privacy law, from torts to sectoral statutes and the GDPR.</t>
  </si>
  <si>
    <t xml:space="preserve">https://aspenpublishing.com/products/solove-privacy8</t>
  </si>
  <si>
    <t xml:space="preserve">Aspen Publishing (Wolters Kluwer)</t>
  </si>
  <si>
    <t xml:space="preserve">Aspen Casebook Series. 8th edition (published Nov. 2023, copyright 2024) is the newest; Aspen lists no 9th edition as of Oct 2026. URL is the publisher's page.</t>
  </si>
  <si>
    <t xml:space="preserve">BKS-010</t>
  </si>
  <si>
    <t xml:space="preserve">The Privacy Engineer's Manifesto — Michelle Finneran Dennedy, Jonathan Fox &amp; Thomas R. Finneran (2014)</t>
  </si>
  <si>
    <t xml:space="preserve">Practical methodology for turning privacy policy into engineering requirements, code and QA.</t>
  </si>
  <si>
    <t xml:space="preserve">https://link.springer.com/book/10.1007/978-1-4302-6356-2</t>
  </si>
  <si>
    <t xml:space="preserve">Apress</t>
  </si>
  <si>
    <t xml:space="preserve">Subtitle: Getting from Policy to Code to QA to Value. Apress, 2014; open access (free ebook on SpringerLink). URL is the publisher's page.</t>
  </si>
  <si>
    <t xml:space="preserve">BKS-011</t>
  </si>
  <si>
    <t xml:space="preserve">Privacy on the Ground — Kenneth A. Bamberger &amp; Deirdre K. Mulligan (2015)</t>
  </si>
  <si>
    <t xml:space="preserve">Empirical study of how corporate privacy officers in the US and Europe turn privacy law into practice.</t>
  </si>
  <si>
    <t xml:space="preserve">https://mitpress.mit.edu/9780262029988/privacy-on-the-ground/</t>
  </si>
  <si>
    <t xml:space="preserve">US &amp; Europe</t>
  </si>
  <si>
    <t xml:space="preserve">Subtitle: Driving Corporate Behavior in the United States and Europe. Information Policy series.</t>
  </si>
  <si>
    <t xml:space="preserve">BKS-012</t>
  </si>
  <si>
    <t xml:space="preserve">Cyber Privacy — April Falcon Doss (2020)</t>
  </si>
  <si>
    <t xml:space="preserve">A former NSA lawyer explains who collects personal data, how it is used, and the gaps in US privacy law.</t>
  </si>
  <si>
    <t xml:space="preserve">https://benbellabooks.com/shop/cyber-privacy/</t>
  </si>
  <si>
    <t xml:space="preserve">BenBella Books</t>
  </si>
  <si>
    <t xml:space="preserve">Subtitle: Who Has Your Data and Why You Should Care.</t>
  </si>
  <si>
    <t xml:space="preserve">BKS-013</t>
  </si>
  <si>
    <t xml:space="preserve">Sandworm — Andy Greenberg (2019)</t>
  </si>
  <si>
    <t xml:space="preserve">Investigates the Russian GRU hacking unit behind attacks on Ukraine's grid and the NotPetya malware.</t>
  </si>
  <si>
    <t xml:space="preserve">https://www.penguinrandomhouse.com/books/597684/sandworm-by-andy-greenberg/</t>
  </si>
  <si>
    <t xml:space="preserve">Doubleday</t>
  </si>
  <si>
    <t xml:space="preserve">Subtitle: A New Era of Cyberwar and the Hunt for the Kremlin's Most Dangerous Hackers. Doubleday, 2019.</t>
  </si>
  <si>
    <t xml:space="preserve">BKS-014</t>
  </si>
  <si>
    <t xml:space="preserve">This Is How They Tell Me the World Ends — Nicole Perlroth (2021)</t>
  </si>
  <si>
    <t xml:space="preserve">Traces the global market for zero-day exploits and the cyberweapons arms race.</t>
  </si>
  <si>
    <t xml:space="preserve">https://openlibrary.org/works/OL24313631W</t>
  </si>
  <si>
    <t xml:space="preserve">Bloomsbury</t>
  </si>
  <si>
    <t xml:space="preserve">Subtitle: The Cyberweapons Arms Race. Bloomsbury, 2021.</t>
  </si>
  <si>
    <t xml:space="preserve">BKS-015</t>
  </si>
  <si>
    <t xml:space="preserve">Countdown to Zero Day — Kim Zetter (2014)</t>
  </si>
  <si>
    <t xml:space="preserve">Reconstructs the discovery and design of Stuxnet, the cyberweapon used against Iran's nuclear program.</t>
  </si>
  <si>
    <t xml:space="preserve">https://www.penguinrandomhouse.com/books/219931/countdown-to-zero-day-by-kim-zetter/</t>
  </si>
  <si>
    <t xml:space="preserve">Crown</t>
  </si>
  <si>
    <t xml:space="preserve">Subtitle: Stuxnet and the Launch of the World's First Digital Weapon.</t>
  </si>
  <si>
    <t xml:space="preserve">BKS-016</t>
  </si>
  <si>
    <t xml:space="preserve">The Hacker and the State — Ben Buchanan (2020)</t>
  </si>
  <si>
    <t xml:space="preserve">Argues state hacking is used mainly to shape geopolitics through espionage and disruption, not deterrence.</t>
  </si>
  <si>
    <t xml:space="preserve">https://www.hup.harvard.edu/books/9780674271029</t>
  </si>
  <si>
    <t xml:space="preserve">Subtitle: Cyber Attacks and the New Normal of Geopolitics.</t>
  </si>
  <si>
    <t xml:space="preserve">BKS-017</t>
  </si>
  <si>
    <t xml:space="preserve">Weapons of Math Destruction — Cathy O'Neil (2016)</t>
  </si>
  <si>
    <t xml:space="preserve">AI; Privacy</t>
  </si>
  <si>
    <t xml:space="preserve">Shows how opaque, large-scale algorithms in lending, hiring, policing and education can reinforce inequality.</t>
  </si>
  <si>
    <t xml:space="preserve">https://www.penguinrandomhouse.com/books/241363/weapons-of-math-destruction-by-cathy-oneil/</t>
  </si>
  <si>
    <t xml:space="preserve">Subtitle: How Big Data Increases Inequality and Threatens Democracy. Crown, 2016.</t>
  </si>
  <si>
    <t xml:space="preserve">BKS-018</t>
  </si>
  <si>
    <t xml:space="preserve">Atlas of AI — Kate Crawford (2021)</t>
  </si>
  <si>
    <t xml:space="preserve">Examines the material, labor, data and political infrastructures behind artificial intelligence.</t>
  </si>
  <si>
    <t xml:space="preserve">https://yalebooks.yale.edu/book/9780300264630/atlas-of-ai/</t>
  </si>
  <si>
    <t xml:space="preserve">Yale University Press</t>
  </si>
  <si>
    <t xml:space="preserve">Subtitle: Power, Politics, and the Planetary Costs of Artificial Intelligence. Yale University Press, 2021.</t>
  </si>
  <si>
    <t xml:space="preserve">BKS-019</t>
  </si>
  <si>
    <t xml:space="preserve">The Alignment Problem — Brian Christian (2020)</t>
  </si>
  <si>
    <t xml:space="preserve">Covers the research effort to make machine learning systems behave in line with human values and intentions.</t>
  </si>
  <si>
    <t xml:space="preserve">https://wwnorton.com/books/9780393635829</t>
  </si>
  <si>
    <t xml:space="preserve">Subtitle: Machine Learning and Human Values. W. W. Norton, 2020.</t>
  </si>
  <si>
    <t xml:space="preserve">BKS-020</t>
  </si>
  <si>
    <t xml:space="preserve">Unmasking AI — Joy Buolamwini (2023)</t>
  </si>
  <si>
    <t xml:space="preserve">Memoir and argument on algorithmic bias, drawing on the author's research into facial recognition accuracy.</t>
  </si>
  <si>
    <t xml:space="preserve">https://www.penguinrandomhouse.com/books/670356/unmasking-ai-by-dr-joy-buolamwini/</t>
  </si>
  <si>
    <t xml:space="preserve">Random House</t>
  </si>
  <si>
    <t xml:space="preserve">Subtitle: My Mission to Protect What Is Human in a World of Machines.</t>
  </si>
  <si>
    <t xml:space="preserve">BKS-021</t>
  </si>
  <si>
    <t xml:space="preserve">AI Snake Oil — Arvind Narayanan &amp; Sayash Kapoor (2024)</t>
  </si>
  <si>
    <t xml:space="preserve">Distinguishes AI that works from overhyped claims, especially predictive AI used in high-stakes decisions.</t>
  </si>
  <si>
    <t xml:space="preserve">https://press.princeton.edu/books/hardcover/9780691249131/ai-snake-oil</t>
  </si>
  <si>
    <t xml:space="preserve">Princeton University Press</t>
  </si>
  <si>
    <t xml:space="preserve">Subtitle: What Artificial Intelligence Can Do, What It Can't, and How to Tell the Difference. Princeton University Press, 2024; updated edition with new preface and epilogue, Sept. 2025.</t>
  </si>
  <si>
    <t xml:space="preserve">BKS-022</t>
  </si>
  <si>
    <t xml:space="preserve">Digital Empires — Anu Bradford (2023)</t>
  </si>
  <si>
    <t xml:space="preserve">Compares the US market-driven, Chinese state-driven and EU rights-driven models of regulating technology.</t>
  </si>
  <si>
    <t xml:space="preserve">https://global.oup.com/academic/product/digital-empires-9780197649268</t>
  </si>
  <si>
    <t xml:space="preserve">Oxford University Press</t>
  </si>
  <si>
    <t xml:space="preserve">Subtitle: The Global Battle to Regulate Technology. Oxford University Press, 2023.</t>
  </si>
  <si>
    <t xml:space="preserve">BKS-023</t>
  </si>
  <si>
    <t xml:space="preserve">The Brussels Effect — Anu Bradford (2020)</t>
  </si>
  <si>
    <t xml:space="preserve">Explains how EU regulations, including data protection rules, become global standards through market forces.</t>
  </si>
  <si>
    <t xml:space="preserve">https://global.oup.com/academic/product/the-brussels-effect-9780190088583</t>
  </si>
  <si>
    <t xml:space="preserve">Subtitle: How the European Union Rules the World.</t>
  </si>
  <si>
    <t xml:space="preserve">BKS-024</t>
  </si>
  <si>
    <t xml:space="preserve">Cybersecurity Law — Jeff Kosseff (4th ed., 2025)</t>
  </si>
  <si>
    <t xml:space="preserve">Cybersecurity; Tech Law; Privacy</t>
  </si>
  <si>
    <t xml:space="preserve">Textbook on US cybersecurity law, including data security, breach notification, hacking laws and surveillance.</t>
  </si>
  <si>
    <t xml:space="preserve">https://www.wiley-vch.de/de/fachgebiete/computer-und-informatik/cybersecurity-law-978-1-394-26589-3</t>
  </si>
  <si>
    <t xml:space="preserve">Wiley</t>
  </si>
  <si>
    <t xml:space="preserve">4th edition (Wiley, Oct. 2025; ISBN 978-1-394-26589-3) supersedes the 3rd (2022). URL is Wiley's German-language catalogue page.</t>
  </si>
  <si>
    <t xml:space="preserve">BKS-025</t>
  </si>
  <si>
    <t xml:space="preserve">The Twenty-Six Words That Created the Internet — Jeff Kosseff (2019)</t>
  </si>
  <si>
    <t xml:space="preserve">History and analysis of Section 230 of the Communications Decency Act and its effect on online platforms.</t>
  </si>
  <si>
    <t xml:space="preserve">https://cornellpress.cornell.edu/book/9781501714412/the-twenty-six-words-that-created-the-internet/</t>
  </si>
  <si>
    <t xml:space="preserve">Cornell University Press</t>
  </si>
  <si>
    <t xml:space="preserve">BKS-026</t>
  </si>
  <si>
    <t xml:space="preserve">On Privacy and Technology — Daniel J. Solove (2025)</t>
  </si>
  <si>
    <t xml:space="preserve">Short book arguing privacy is a societal value and that current privacy law is failing in the age of AI.</t>
  </si>
  <si>
    <t xml:space="preserve">https://global.oup.com/academic/product/on-privacy-and-technology-9780197771686</t>
  </si>
  <si>
    <t xml:space="preserve">BKS-027</t>
  </si>
  <si>
    <t xml:space="preserve">Privacy Is Power — Carissa Véliz (2020)</t>
  </si>
  <si>
    <t xml:space="preserve">Argues personal data concentrates power in companies and governments, and urges individual and collective action.</t>
  </si>
  <si>
    <t xml:space="preserve">https://www.penguin.co.uk/books/442343/privacy-is-power-by-carissa-veliz/9780552177719</t>
  </si>
  <si>
    <t xml:space="preserve">Bantam Press</t>
  </si>
  <si>
    <t xml:space="preserve">Subtitle: Why and How You Should Take Back Control of Your Data. UK ed. Bantam Press 2020; US ed. Melville House 2021.</t>
  </si>
  <si>
    <t xml:space="preserve">BKS-028</t>
  </si>
  <si>
    <t xml:space="preserve">A Hacker's Mind — Bruce Schneier (2023)</t>
  </si>
  <si>
    <t xml:space="preserve">Applies the idea of hacking to laws, markets and politics, showing how the powerful exploit rules.</t>
  </si>
  <si>
    <t xml:space="preserve">https://wwnorton.com/books/9780393866667</t>
  </si>
  <si>
    <t xml:space="preserve">Subtitle: How the Powerful Bend Society's Rules, and How to Bend Them Back.</t>
  </si>
  <si>
    <t xml:space="preserve">BKS-029</t>
  </si>
  <si>
    <t xml:space="preserve">Breached! — Daniel J. Solove &amp; Woodrow Hartzog (2022)</t>
  </si>
  <si>
    <t xml:space="preserve">Argues data security law fails by focusing on breaches after the fact, and proposes a broader approach.</t>
  </si>
  <si>
    <t xml:space="preserve">https://global.oup.com/academic/product/breached-9780190940553</t>
  </si>
  <si>
    <t xml:space="preserve">Subtitle: Why Data Security Law Fails and How to Improve It.</t>
  </si>
  <si>
    <t xml:space="preserve">BKS-030</t>
  </si>
  <si>
    <t xml:space="preserve">Code: Version 2.0 — Lawrence Lessig (2006)</t>
  </si>
  <si>
    <t xml:space="preserve">Argues that software architecture ('code') regulates online behavior alongside law, markets and norms.</t>
  </si>
  <si>
    <t xml:space="preserve">https://www.codev2.cc/</t>
  </si>
  <si>
    <t xml:space="preserve">Basic Books</t>
  </si>
  <si>
    <t xml:space="preserve">Free Creative Commons edition at codev2.cc; print edition published by Basic Books (2006).</t>
  </si>
  <si>
    <t xml:space="preserve">BKS-031</t>
  </si>
  <si>
    <t xml:space="preserve">The Black Box Society — Frank Pasquale (2015)</t>
  </si>
  <si>
    <t xml:space="preserve">Examines secret algorithms in finance and online platforms and argues for transparency and accountability.</t>
  </si>
  <si>
    <t xml:space="preserve">https://www.hup.harvard.edu/books/9780674970847</t>
  </si>
  <si>
    <t xml:space="preserve">Subtitle: The Secret Algorithms That Control Money and Information.</t>
  </si>
  <si>
    <t xml:space="preserve">TLS-001</t>
  </si>
  <si>
    <t xml:space="preserve">NIST CSF 2.0 Reference Tool</t>
  </si>
  <si>
    <t xml:space="preserve">Tools &amp; Templates</t>
  </si>
  <si>
    <t xml:space="preserve">tools</t>
  </si>
  <si>
    <t xml:space="preserve">Tool</t>
  </si>
  <si>
    <t xml:space="preserve">NIST web tool for browsing, searching and exporting the CSF 2.0 Core (functions, categories, subcategories and examples) in JSON or Excel.</t>
  </si>
  <si>
    <t xml:space="preserve">https://csrc.nist.gov/Projects/cybersecurity-framework/Filters#/csf/filters</t>
  </si>
  <si>
    <t xml:space="preserve">Linked as the 'CSF 2.0 Tool' from nist.gov/cyberframework (Oct 2026). First released with the CSF 2.0 draft in 2023; page title 'CSF Filters'. Part of NIST's Cybersecurity and Privacy Reference Tool family.</t>
  </si>
  <si>
    <t xml:space="preserve">TLS-002</t>
  </si>
  <si>
    <t xml:space="preserve">NIST CSF 2.0 Quick-Start Guides</t>
  </si>
  <si>
    <t xml:space="preserve">Toolkit</t>
  </si>
  <si>
    <t xml:space="preserve">Short NIST guides for applying CSF 2.0 to specific needs, including small businesses, organizational profiles, supply chain risk, tiers and ERM.</t>
  </si>
  <si>
    <t xml:space="preserve">https://www.nist.gov/cyberframework/quick-start-guides</t>
  </si>
  <si>
    <t xml:space="preserve">10 guides listed as of Oct 2026, including SP 1308 (Cybersecurity, ERM and Workforce, Mar 2026) and SP 1347 (Informative References). Several available in translation.</t>
  </si>
  <si>
    <t xml:space="preserve">TLS-003</t>
  </si>
  <si>
    <t xml:space="preserve">NIST Privacy Framework Resource Repository</t>
  </si>
  <si>
    <t xml:space="preserve">NIST collection of crosswalks, profiles, and guidelines and tools that support use of the Privacy Framework, including CCPA and SOC 2 TSC mappings.</t>
  </si>
  <si>
    <t xml:space="preserve">https://www.nist.gov/privacy-framework/resource-repository</t>
  </si>
  <si>
    <t xml:space="preserve">Includes crosswalks (CCPA regulations, AICPA Trust Services Criteria), profiles and per-subcategory guidance pages; accepts community contributions. PF Core downloadable as PDF, XLSX and DOCX.</t>
  </si>
  <si>
    <t xml:space="preserve">TLS-004</t>
  </si>
  <si>
    <t xml:space="preserve">NIST AI RMF Playbook</t>
  </si>
  <si>
    <t xml:space="preserve">Companion to the AI RMF suggesting voluntary actions, references and documentation for each Govern, Map, Measure and Manage subcategory.</t>
  </si>
  <si>
    <t xml:space="preserve">https://airc.nist.gov/airmf-resources/playbook/</t>
  </si>
  <si>
    <t xml:space="preserve">Browse online or download as PDF, CSV, Excel or JSON. Hosted on NIST's Trustworthy and Responsible AI Resource Center. NIST says it will be updated after the AI RMF revision; page updated June 18, 2026.</t>
  </si>
  <si>
    <t xml:space="preserve">TLS-005</t>
  </si>
  <si>
    <t xml:space="preserve">National Vulnerability Database (NVD)</t>
  </si>
  <si>
    <t xml:space="preserve">US government repository of CVE vulnerability records enriched with severity scores, affected product data and references.</t>
  </si>
  <si>
    <t xml:space="preserve">https://nvd.nist.gov/</t>
  </si>
  <si>
    <t xml:space="preserve">Fetch returned the page title only. NVD has reported CVE analysis backlogs since 2024; pair with CVE.org and the CISA KEV catalog for timely data.</t>
  </si>
  <si>
    <t xml:space="preserve">TLS-006</t>
  </si>
  <si>
    <t xml:space="preserve">OECD.AI Catalogue of Tools &amp; Metrics for Trustworthy AI</t>
  </si>
  <si>
    <t xml:space="preserve">Searchable OECD catalogue of tools and metrics that help build, assess and deploy trustworthy AI systems, contributed by third parties.</t>
  </si>
  <si>
    <t xml:space="preserve">https://oecd.ai/en/catalogue/overview</t>
  </si>
  <si>
    <t xml:space="preserve">Two sections: Tools and Metrics, with a contribution process. The OECD notes entries are not vetted or endorsed; responsibility rests with originating authors.</t>
  </si>
  <si>
    <t xml:space="preserve">TLS-007</t>
  </si>
  <si>
    <t xml:space="preserve">OECD AI Incidents and Hazards Monitor (AIM)</t>
  </si>
  <si>
    <t xml:space="preserve">OECD monitor tracking AI incidents and hazards reported in news media, tagged by AI principle, sector, harm type and autonomy level.</t>
  </si>
  <si>
    <t xml:space="preserve">https://oecd.ai/en/incidents</t>
  </si>
  <si>
    <t xml:space="preserve">Labeled beta; about 18,500 entries as of Oct 2026, with filters, trend charts and download. Some entries link to AI Incident Database records.</t>
  </si>
  <si>
    <t xml:space="preserve">TLS-008</t>
  </si>
  <si>
    <t xml:space="preserve">MITRE ATT&amp;CK Navigator</t>
  </si>
  <si>
    <t xml:space="preserve">Open-source web app for annotating and exploring ATT&amp;CK matrices, used to map detection coverage and plan red and blue team activities.</t>
  </si>
  <si>
    <t xml:space="preserve">https://mitre-attack.github.io/attack-navigator/</t>
  </si>
  <si>
    <t xml:space="preserve">Hosted web app (no install needed), linked from the attack.mitre.org Data &amp; Tools page. Source and self-hosting: github.com/mitre-attack/attack-navigator (latest release v5.3.2).</t>
  </si>
  <si>
    <t xml:space="preserve">TLS-009</t>
  </si>
  <si>
    <t xml:space="preserve">CIS Benchmarks</t>
  </si>
  <si>
    <t xml:space="preserve">Consensus-developed secure configuration guidelines for 100+ technologies, including operating systems, cloud platforms, network devices and browsers.</t>
  </si>
  <si>
    <t xml:space="preserve">https://www.cisecurity.org/cis-benchmarks</t>
  </si>
  <si>
    <t xml:space="preserve">PDF benchmarks are free to download after registration; CIS SecureSuite membership adds tailoring, build kits and other formats.</t>
  </si>
  <si>
    <t xml:space="preserve">TLS-010</t>
  </si>
  <si>
    <t xml:space="preserve">CIS-CAT Lite</t>
  </si>
  <si>
    <t xml:space="preserve">Free CIS tool that scans systems against selected CIS Benchmarks and gives a 1-100 compliance score with remediation steps.</t>
  </si>
  <si>
    <t xml:space="preserve">https://learn.cisecurity.org/cis-cat-lite</t>
  </si>
  <si>
    <t xml:space="preserve">Software</t>
  </si>
  <si>
    <t xml:space="preserve">Lite covers a limited set of benchmarks; CIS-CAT Pro, for SecureSuite members, covers more.</t>
  </si>
  <si>
    <t xml:space="preserve">TLS-011</t>
  </si>
  <si>
    <t xml:space="preserve">CSA CAIQ v4.1 (Consensus Assessments Initiative Questionnaire)</t>
  </si>
  <si>
    <t xml:space="preserve">Template</t>
  </si>
  <si>
    <t xml:space="preserve">Yes/no security questionnaire aligned to the CSA Cloud Controls Matrix for documenting a cloud provider's controls; used for STAR Level 1.</t>
  </si>
  <si>
    <t xml:space="preserve">https://cloudsecurityalliance.org/artifacts/star-level-1-security-questionnaire-caiq-v4/</t>
  </si>
  <si>
    <t xml:space="preserve">CAIQ v4.1 released Jan 27, 2026 alongside CCM v4.1 (283 questions per CSA). Widely reused for vendor due diligence. Download available without an account.</t>
  </si>
  <si>
    <t xml:space="preserve">TLS-012</t>
  </si>
  <si>
    <t xml:space="preserve">CSA STAR Registry</t>
  </si>
  <si>
    <t xml:space="preserve">Public registry of cloud and AI providers' CSA STAR self-assessments, certifications and attestations, searchable for vendor due diligence.</t>
  </si>
  <si>
    <t xml:space="preserve">https://cloudsecurityalliance.org/star/registry</t>
  </si>
  <si>
    <t xml:space="preserve">About 2,869 organizations listed as of Oct 2026.</t>
  </si>
  <si>
    <t xml:space="preserve">TLS-013</t>
  </si>
  <si>
    <t xml:space="preserve">IAPP Resource Center</t>
  </si>
  <si>
    <t xml:space="preserve">IAPP library of trackers, templates, charts and research on privacy, AI governance and cybersecurity law; some items are member-only.</t>
  </si>
  <si>
    <t xml:space="preserve">https://iapp.org/resources</t>
  </si>
  <si>
    <t xml:space="preserve">Free items include a PETs resource repository (updated Oct 21, 2026) and AI governance infographics. Member-only as of Oct 2026: Global AI Law and Policy Tracker, EU AI Act Compliance Matrix, TIA templates, sample DPA.</t>
  </si>
  <si>
    <t xml:space="preserve">TLS-014</t>
  </si>
  <si>
    <t xml:space="preserve">CNIL PIA Software</t>
  </si>
  <si>
    <t xml:space="preserve">Free, open-source tool from France's data protection authority that guides users through a GDPR data protection impact assessment.</t>
  </si>
  <si>
    <t xml:space="preserve">https://www.cnil.fr/en/open-source-pia-software-helps-carry-out-data-protection-impact-assessment</t>
  </si>
  <si>
    <t xml:space="preserve">Current version 3.0.3: portable desktop builds for Windows, Linux and macOS, plus a self-hosted web version. Source on GitHub (LINCnil/pia and pia-back). The CNIL page dates from Dec 2017 and its FAQ still refers to v2.0.</t>
  </si>
  <si>
    <t xml:space="preserve">TLS-015</t>
  </si>
  <si>
    <t xml:space="preserve">ICO DPIA Guidance and Template</t>
  </si>
  <si>
    <t xml:space="preserve">UK ICO guidance on when and how to carry out a data protection impact assessment, with a sample DPIA template to adapt.</t>
  </si>
  <si>
    <t xml:space="preserve">https://ico.org.uk/for-organisations/uk-gdpr-guidance-and-resources/accountability-and-governance/guide-to-accountability-and-governance/data-protection-impact-assessments/</t>
  </si>
  <si>
    <t xml:space="preserve">Information Commissioner's Office (ICO)</t>
  </si>
  <si>
    <t xml:space="preserve">ICO DPIA guidance with a sample DPIA template (.docx). The page says the guidance is under review after the Data (Use and Access) Act 2025. Still on ico.org.uk under ICO branding (Oct 2026).</t>
  </si>
  <si>
    <t xml:space="preserve">TLS-016</t>
  </si>
  <si>
    <t xml:space="preserve">ICO AI and Data Protection Risk Toolkit</t>
  </si>
  <si>
    <t xml:space="preserve">ICO spreadsheet toolkit for identifying and reducing data protection risks across the AI lifecycle, linked to its guidance on AI and data protection.</t>
  </si>
  <si>
    <t xml:space="preserve">https://ico.org.uk/for-organisations/uk-gdpr-guidance-and-resources/artificial-intelligence/guidance-on-ai-and-data-protection/ai-and-data-protection-risk-toolkit/</t>
  </si>
  <si>
    <t xml:space="preserve">Excel toolkit, currently v11 (page metadata May 2026). The ICO says the AI guidance is under review after the Data (Use and Access) Act 2025. Still on ico.org.uk under ICO branding (Oct 2026).</t>
  </si>
  <si>
    <t xml:space="preserve">TLS-017</t>
  </si>
  <si>
    <t xml:space="preserve">EDPB Website Auditing Tool</t>
  </si>
  <si>
    <t xml:space="preserve">Open-source EDPB tool for collecting evidence about cookies and trackers on websites, for regulators, controllers and auditors.</t>
  </si>
  <si>
    <t xml:space="preserve">https://code.europa.eu/edpb/website-auditing-tool</t>
  </si>
  <si>
    <t xml:space="preserve">Released Jan 2024 through the EDPB Support Pool of Experts; GitLab releases now reach v2.0.1. EDPB overview: edpb.europa.eu/our-work-tools/our-documents/support-pool-experts-projects/edpb-website-auditing-tool_en</t>
  </si>
  <si>
    <t xml:space="preserve">TLS-018</t>
  </si>
  <si>
    <t xml:space="preserve">CISA Known Exploited Vulnerabilities (KEV) Catalog</t>
  </si>
  <si>
    <t xml:space="preserve">CISA list of vulnerabilities confirmed as exploited in the wild, with remediation due dates; downloadable as CSV or JSON.</t>
  </si>
  <si>
    <t xml:space="preserve">https://www.cisa.gov/known-exploited-vulnerabilities-catalog</t>
  </si>
  <si>
    <t xml:space="preserve">CISA</t>
  </si>
  <si>
    <t xml:space="preserve">Still updated (CISA KEV additions through Oct 26, 2026). BOD 22-01 is now listed as revoked; CISA's kev-data README cites BOD 26-04 (Prioritizing Security Updates Based on Risk). Data is CC0 and mirrored at github.com/cisagov/kev-data. Short link: cisa.gov/kev.</t>
  </si>
  <si>
    <t xml:space="preserve">TLS-019</t>
  </si>
  <si>
    <t xml:space="preserve">CISA Cyber Security Evaluation Tool (CSET)</t>
  </si>
  <si>
    <t xml:space="preserve">Free CISA desktop tool for self-assessing cybersecurity posture against standards and questionnaires such as NIST CSF, CMMC and ransomware readiness.</t>
  </si>
  <si>
    <t xml:space="preserve">https://github.com/cisagov/cset</t>
  </si>
  <si>
    <t xml:space="preserve">Open source and actively maintained: v13.0 released Oct 2026, after v12.4.0.4 in July 2025. v13 drops six retired assessment types, including CRR and RRA. Releases are on GitHub.</t>
  </si>
  <si>
    <t xml:space="preserve">TLS-020</t>
  </si>
  <si>
    <t xml:space="preserve">Have I Been Pwned</t>
  </si>
  <si>
    <t xml:space="preserve">Free service for checking whether an email address appears in known data breaches, with breach notification sign-up.</t>
  </si>
  <si>
    <t xml:space="preserve">https://haveibeenpwned.com/</t>
  </si>
  <si>
    <t xml:space="preserve">Have I Been Pwned (Troy Hunt)</t>
  </si>
  <si>
    <t xml:space="preserve">Email breach search and 'Notify Me' alerts are free; domain search and API (v3) are paid subscriptions (see the Pricing page). Also offers Pwned Passwords and an MCP server.</t>
  </si>
  <si>
    <t xml:space="preserve">TLS-021</t>
  </si>
  <si>
    <t xml:space="preserve">VirusTotal</t>
  </si>
  <si>
    <t xml:space="preserve">Google-owned service that analyzes files, URLs, domains and IP addresses with many antivirus engines and threat intelligence sources.</t>
  </si>
  <si>
    <t xml:space="preserve">https://www.virustotal.com/</t>
  </si>
  <si>
    <t xml:space="preserve">VirusTotal (Google)</t>
  </si>
  <si>
    <t xml:space="preserve">Public submissions are shared with the security community, so do not upload confidential or privileged files. Premium and Enterprise tiers are paid.</t>
  </si>
  <si>
    <t xml:space="preserve">TLS-022</t>
  </si>
  <si>
    <t xml:space="preserve">ZAP by Checkmarx (formerly OWASP ZAP)</t>
  </si>
  <si>
    <t xml:space="preserve">Free, open-source web application security scanner for finding vulnerabilities through automated scans and manual testing.</t>
  </si>
  <si>
    <t xml:space="preserve">https://www.zaproxy.org/</t>
  </si>
  <si>
    <t xml:space="preserve">ZAP project (Checkmarx)</t>
  </si>
  <si>
    <t xml:space="preserve">Formerly OWASP ZAP; now branded 'ZAP by Checkmarx' and described as an independent open source project, with 3 core team members employed full time by Checkmarx. Latest release 2.17.0 (Dec 15, 2025). Free (Apache 2.0).</t>
  </si>
  <si>
    <t xml:space="preserve">TLS-023</t>
  </si>
  <si>
    <t xml:space="preserve">Shodan</t>
  </si>
  <si>
    <t xml:space="preserve">Search engine for internet-connected devices and services, used to find exposed systems and review an organization's external attack surface.</t>
  </si>
  <si>
    <t xml:space="preserve">https://www.shodan.io/</t>
  </si>
  <si>
    <t xml:space="preserve">Search engine for internet-connected devices. Limited free searches; full filters, monitoring and API access need a paid membership or plan.</t>
  </si>
  <si>
    <t xml:space="preserve">TLS-024</t>
  </si>
  <si>
    <t xml:space="preserve">Microsoft Responsible AI Toolbox</t>
  </si>
  <si>
    <t xml:space="preserve">Open-source Microsoft tools and dashboards for assessing machine learning models for fairness, errors, interpretability and causal effects.</t>
  </si>
  <si>
    <t xml:space="preserve">https://github.com/microsoft/responsible-ai-toolbox</t>
  </si>
  <si>
    <t xml:space="preserve">Microsoft</t>
  </si>
  <si>
    <t xml:space="preserve">Includes the Responsible AI Dashboard. Latest GitHub release is v0.36.0 (July, probably 2024). No later release or archive notice seen in Oct 2026, so activity looks low. Microsoft's RAI Impact Assessment Template was left out because its URL is unverified.</t>
  </si>
  <si>
    <t xml:space="preserve">TLS-025</t>
  </si>
  <si>
    <t xml:space="preserve">AI Verify</t>
  </si>
  <si>
    <t xml:space="preserve">Singapore's open-source AI governance testing framework and toolkit for checking AI systems against internationally recognized AI principles.</t>
  </si>
  <si>
    <t xml:space="preserve">https://aiverifyfoundation.sg/</t>
  </si>
  <si>
    <t xml:space="preserve">AI Verify Foundation (IMDA)</t>
  </si>
  <si>
    <t xml:space="preserve">Open-source AI Verify Testing Framework and Toolkit, developed by Singapore's IMDA and run by the AI Verify Foundation. Project Moonshot (LLM testing) is now in the Starter Kit. The foundation also runs a Global AI Assurance Sandbox and an AI Tester Accreditation programme.</t>
  </si>
  <si>
    <t xml:space="preserve">COM-001</t>
  </si>
  <si>
    <t xml:space="preserve">Communities &amp; Associations</t>
  </si>
  <si>
    <t xml:space="preserve">communities</t>
  </si>
  <si>
    <t xml:space="preserve">Association</t>
  </si>
  <si>
    <t xml:space="preserve">Global not-for-profit association for privacy, AI governance and digital responsibility professionals; runs CIPP, CIPM, CIPT and AIGP.</t>
  </si>
  <si>
    <t xml:space="preserve">https://iapp.org/</t>
  </si>
  <si>
    <t xml:space="preserve">International Association of Privacy Professionals</t>
  </si>
  <si>
    <t xml:space="preserve">Founded 2000; HQ Portsmouth, NH; members in 155 countries. Dues per IAPP store: Professional US$295, Government/Higher Ed/Nonprofit US$110, Retired US$100, Student US$50.</t>
  </si>
  <si>
    <t xml:space="preserve">COM-002</t>
  </si>
  <si>
    <t xml:space="preserve">IAPP KnowledgeNet Chapters</t>
  </si>
  <si>
    <t xml:space="preserve">Community</t>
  </si>
  <si>
    <t xml:space="preserve">Directory of 160+ local IAPP KnowledgeNet chapters where members meet for networking and education.</t>
  </si>
  <si>
    <t xml:space="preserve">https://iapp.org/community/local-chapters</t>
  </si>
  <si>
    <t xml:space="preserve">Page states only IAPP members can join a chapter; 170 chapter results at check.</t>
  </si>
  <si>
    <t xml:space="preserve">COM-003</t>
  </si>
  <si>
    <t xml:space="preserve">Global association for IT audit, governance, risk, security and privacy professionals; offers CISA, CISM, CRISC and CDPSE.</t>
  </si>
  <si>
    <t xml:space="preserve">https://www.isaca.org/</t>
  </si>
  <si>
    <t xml:space="preserve">Live (© 2026). 185,000+ members; 200+ chapters. Tiers for professionals, recent graduates and students; dues not shown on pages fetched.</t>
  </si>
  <si>
    <t xml:space="preserve">COM-004</t>
  </si>
  <si>
    <t xml:space="preserve">Nonprofit cybersecurity professional association known for the CISSP and CC certifications, with chapters worldwide.</t>
  </si>
  <si>
    <t xml:space="preserve">https://www.isc2.org/</t>
  </si>
  <si>
    <t xml:space="preserve">Live (© 1996–2026). Chapters community: isc2chapters.isc2.org. Fees not shown on pages fetched.</t>
  </si>
  <si>
    <t xml:space="preserve">COM-005</t>
  </si>
  <si>
    <t xml:space="preserve">Nonprofit membership community that recruits, retains and advances women in cybersecurity through conferences, chapters and mentoring.</t>
  </si>
  <si>
    <t xml:space="preserve">https://www.wicys.org/</t>
  </si>
  <si>
    <t xml:space="preserve">Live (© 2026). Membership needed for Job Board++ and member benefits; fee chart is an image on wicys.org/benefits and was not captured.</t>
  </si>
  <si>
    <t xml:space="preserve">COM-006</t>
  </si>
  <si>
    <t xml:space="preserve">Open community and nonprofit producing free application security resources such as the OWASP Top 10, with chapters worldwide.</t>
  </si>
  <si>
    <t xml:space="preserve">https://owasp.org/</t>
  </si>
  <si>
    <t xml:space="preserve">Projects, chapters and resources free. Optional paid individual membership; student/discounted rates for qualifying people and free one-year membership for some countries. Dues not shown on page.</t>
  </si>
  <si>
    <t xml:space="preserve">COM-007</t>
  </si>
  <si>
    <t xml:space="preserve">Future of Privacy Forum</t>
  </si>
  <si>
    <t xml:space="preserve">Nonprofit</t>
  </si>
  <si>
    <t xml:space="preserve">Washington, DC nonprofit that publishes research and convenes stakeholders on privacy, data protection and AI policy.</t>
  </si>
  <si>
    <t xml:space="preserve">https://fpf.org/</t>
  </si>
  <si>
    <t xml:space="preserve">Reports, trackers and analyses free online (e.g., 2026 Chatbot Legislation Tracker); paid membership is for corporate supporters.</t>
  </si>
  <si>
    <t xml:space="preserve">COM-008</t>
  </si>
  <si>
    <t xml:space="preserve">Electronic Frontier Foundation (EFF)</t>
  </si>
  <si>
    <t xml:space="preserve">Advocacy group</t>
  </si>
  <si>
    <t xml:space="preserve">Nonprofit defending civil liberties online through litigation, policy work, technology projects and public guides.</t>
  </si>
  <si>
    <t xml:space="preserve">https://www.eff.org/</t>
  </si>
  <si>
    <t xml:space="preserve">Electronic Frontier Foundation</t>
  </si>
  <si>
    <t xml:space="preserve">Donor-funded US nonprofit defending digital civil liberties; resources free, optional donor membership.</t>
  </si>
  <si>
    <t xml:space="preserve">COM-009</t>
  </si>
  <si>
    <t xml:space="preserve">Electronic Privacy Information Center (EPIC)</t>
  </si>
  <si>
    <t xml:space="preserve">Washington, DC public interest research center working on privacy, AI and civil liberties through litigation and policy.</t>
  </si>
  <si>
    <t xml:space="preserve">https://epic.org/</t>
  </si>
  <si>
    <t xml:space="preserve">EPIC</t>
  </si>
  <si>
    <t xml:space="preserve">Washington, DC public-interest privacy research and advocacy center, founded 1994.</t>
  </si>
  <si>
    <t xml:space="preserve">COM-010</t>
  </si>
  <si>
    <t xml:space="preserve">Center for Democracy &amp; Technology (CDT)</t>
  </si>
  <si>
    <t xml:space="preserve">Nonprofit working on civil rights and civil liberties in digital technology, with offices in Washington, DC and Brussels.</t>
  </si>
  <si>
    <t xml:space="preserve">https://cdt.org/</t>
  </si>
  <si>
    <t xml:space="preserve">Center for Democracy &amp; Technology</t>
  </si>
  <si>
    <t xml:space="preserve">Washington, DC and Brussels nonprofit on digital rights and tech policy; reports free online.</t>
  </si>
  <si>
    <t xml:space="preserve">COM-011</t>
  </si>
  <si>
    <t xml:space="preserve">ABA Science &amp; Technology Law Section</t>
  </si>
  <si>
    <t xml:space="preserve">American Bar Association section for lawyers working on technology, privacy, AI, cybersecurity and science law.</t>
  </si>
  <si>
    <t xml:space="preserve">https://www.americanbar.org/groups/science_technology/</t>
  </si>
  <si>
    <t xml:space="preserve">American Bar Association</t>
  </si>
  <si>
    <t xml:space="preserve">Requires ABA membership plus section dues; amounts not confirmed.</t>
  </si>
  <si>
    <t xml:space="preserve">COM-012</t>
  </si>
  <si>
    <t xml:space="preserve">ABA Cybersecurity Legal Task Force</t>
  </si>
  <si>
    <t xml:space="preserve">ABA task force producing resources and policy on cybersecurity law for lawyers, law firms and bar associations.</t>
  </si>
  <si>
    <t xml:space="preserve">https://www.americanbar.org/groups/cybersecurity/</t>
  </si>
  <si>
    <t xml:space="preserve">ABA task force; free recordings, cybersecurity handbook and monthly meetings. No membership fee shown; donations invited.</t>
  </si>
  <si>
    <t xml:space="preserve">COM-013</t>
  </si>
  <si>
    <t xml:space="preserve">Berkman Klein Center for Internet &amp; Society</t>
  </si>
  <si>
    <t xml:space="preserve">Harvard University research center studying the internet and society, including AI, privacy and digital governance.</t>
  </si>
  <si>
    <t xml:space="preserve">https://cyber.harvard.edu/</t>
  </si>
  <si>
    <t xml:space="preserve">Harvard research center on the internet, law and AI governance; publications and many events free.</t>
  </si>
  <si>
    <t xml:space="preserve">COM-014</t>
  </si>
  <si>
    <t xml:space="preserve">Partnership on AI</t>
  </si>
  <si>
    <t xml:space="preserve">Nonprofit coalition of companies, academics and civil society groups developing guidance on responsible AI practice.</t>
  </si>
  <si>
    <t xml:space="preserve">https://partnershiponai.org/</t>
  </si>
  <si>
    <t xml:space="preserve">Multistakeholder nonprofit on responsible AI; publications free. Its AI Incidents Database workstream links to incidentdatabase.ai.</t>
  </si>
  <si>
    <t xml:space="preserve">COM-015</t>
  </si>
  <si>
    <t xml:space="preserve">Women in AI Ethics</t>
  </si>
  <si>
    <t xml:space="preserve">Global initiative supporting women in AI ethics, known for its annual '100 Brilliant Women in AI Ethics' list.</t>
  </si>
  <si>
    <t xml:space="preserve">https://womeninaiethics.org/</t>
  </si>
  <si>
    <t xml:space="preserve">Founded 2018 by Mia Shah-Dand (Lighthouse3); publishes the annual 100 Brilliant Women in AI Ethics list. Membership terms not shown.</t>
  </si>
  <si>
    <t xml:space="preserve">COM-016</t>
  </si>
  <si>
    <t xml:space="preserve">Black Girls Hack</t>
  </si>
  <si>
    <t xml:space="preserve">Nonprofit providing cybersecurity education, training and community for Black women and girls.</t>
  </si>
  <si>
    <t xml:space="preserve">https://www.blackgirlshack.org/</t>
  </si>
  <si>
    <t xml:space="preserve">BGH Foundation, Fredericksburg, VA 501(c)(3): cybersecurity training, workshops and Security+ outreach. Membership runs on blackgirlshack.wildapricot.org ('open to all'); fees not shown.</t>
  </si>
  <si>
    <t xml:space="preserve">COM-017</t>
  </si>
  <si>
    <t xml:space="preserve">Women in Security and Privacy (WISP)</t>
  </si>
  <si>
    <t xml:space="preserve">Nonprofit advancing women in security and privacy through scholarships, training, mentoring and conference support.</t>
  </si>
  <si>
    <t xml:space="preserve">https://www.wisporg.com/</t>
  </si>
  <si>
    <t xml:space="preserve">Women in Security and Privacy</t>
  </si>
  <si>
    <t xml:space="preserve">No membership fees to join; supported by donations and corporate sponsors.</t>
  </si>
  <si>
    <t xml:space="preserve">COM-018</t>
  </si>
  <si>
    <t xml:space="preserve">Paradigm Initiative</t>
  </si>
  <si>
    <t xml:space="preserve">Nigeria-founded organisation promoting digital rights and inclusion across Africa; publishes the annual Londa report.</t>
  </si>
  <si>
    <t xml:space="preserve">https://paradigmhq.org/</t>
  </si>
  <si>
    <t xml:space="preserve">Pan-African digital rights and inclusion org, HQ Lagos, Nigeria. Convenes the Digital Rights and Inclusion Forum (DRIF), held annually since 2013.</t>
  </si>
  <si>
    <t xml:space="preserve">COM-019</t>
  </si>
  <si>
    <t xml:space="preserve">Nonprofit setting cloud security best practices, including the Cloud Controls Matrix, STAR registry and CCSK credential.</t>
  </si>
  <si>
    <t xml:space="preserve">https://cloudsecurityalliance.org/</t>
  </si>
  <si>
    <t xml:space="preserve">Free CSA account gives access to working groups, publications and training; individuals join via circle.cloudsecurityalliance.org. Certifications such as CCSK cost extra.</t>
  </si>
  <si>
    <t xml:space="preserve">COM-020</t>
  </si>
  <si>
    <t xml:space="preserve">Association of Certified E-Discovery Specialists, offering the CEDS certification, training and chapters for e-discovery professionals.</t>
  </si>
  <si>
    <t xml:space="preserve">https://aceds.org/</t>
  </si>
  <si>
    <t xml:space="preserve">Association of Certified E-Discovery Specialists</t>
  </si>
  <si>
    <t xml:space="preserve">One-year membership: Professional $99, Government $79, Student $39 (2026 pricing). CEDS certification packages are sold separately and include a year of membership.</t>
  </si>
  <si>
    <t xml:space="preserve">COM-021</t>
  </si>
  <si>
    <t xml:space="preserve">Legal Hackers</t>
  </si>
  <si>
    <t xml:space="preserve">Global volunteer movement of local chapters exploring issues at the intersection of law and technology.</t>
  </si>
  <si>
    <t xml:space="preserve">https://legalhackers.org/our-story/</t>
  </si>
  <si>
    <t xml:space="preserve">JOB-001</t>
  </si>
  <si>
    <t xml:space="preserve">ClearedJobs.Net</t>
  </si>
  <si>
    <t xml:space="preserve">Job Boards &amp; Careers</t>
  </si>
  <si>
    <t xml:space="preserve">jobs</t>
  </si>
  <si>
    <t xml:space="preserve">Job board</t>
  </si>
  <si>
    <t xml:space="preserve">US job board and career fair organiser for professionals who hold or can obtain federal security clearances.</t>
  </si>
  <si>
    <t xml:space="preserve">https://clearedjobs.net/</t>
  </si>
  <si>
    <t xml:space="preserve">Live: exact URL and many job pages found in search (Oct 2026). Direct fetch blocked by site. Library http:// link changed to https://.</t>
  </si>
  <si>
    <t xml:space="preserve">JOB-002</t>
  </si>
  <si>
    <t xml:space="preserve">Crux</t>
  </si>
  <si>
    <t xml:space="preserve">Cybersecurity job board and managed talent platform listing security roles from US employers.</t>
  </si>
  <si>
    <t xml:space="preserve">https://www.crux.so/job-board</t>
  </si>
  <si>
    <t xml:space="preserve">Live: current listings under crux.so/job-board/ found in search. Fetch disallowed by robots.txt, so the root page was not opened directly.</t>
  </si>
  <si>
    <t xml:space="preserve">JOB-003</t>
  </si>
  <si>
    <t xml:space="preserve">CyberSN</t>
  </si>
  <si>
    <t xml:space="preserve">Cybersecurity and IT staffing firm with a public job search and role guides; the homepage now leads with workforce services.</t>
  </si>
  <si>
    <t xml:space="preserve">https://cybersn.com/</t>
  </si>
  <si>
    <t xml:space="preserve">Live (© 2026), no redirect. Site has shifted toward staffing and workforce intelligence; job search at cybersn.com/public/search-jobs.</t>
  </si>
  <si>
    <t xml:space="preserve">JOB-004</t>
  </si>
  <si>
    <t xml:space="preserve">Braintrust – Security roles</t>
  </si>
  <si>
    <t xml:space="preserve">Talent network listing contract and freelance security roles, mostly paid hourly, with AI-assisted matching.</t>
  </si>
  <si>
    <t xml:space="preserve">https://www.usebraintrust.com/job-boards/security</t>
  </si>
  <si>
    <t xml:space="preserve">Braintrust</t>
  </si>
  <si>
    <t xml:space="preserve">Live (© 2026). Page canonical points to usebraintrust.com/jobs and the site calls itself 'not a job board'. Applications go through app.usebraintrust.com.</t>
  </si>
  <si>
    <t xml:space="preserve">JOB-005</t>
  </si>
  <si>
    <t xml:space="preserve">HTB Jobs</t>
  </si>
  <si>
    <t xml:space="preserve">Hack The Box job board listing offensive and defensive security roles from its partner companies.</t>
  </si>
  <si>
    <t xml:space="preserve">https://jobs.hackthebox.com/</t>
  </si>
  <si>
    <t xml:space="preserve">Live (© 2026). Library http:// link changed to https://.</t>
  </si>
  <si>
    <t xml:space="preserve">JOB-006</t>
  </si>
  <si>
    <t xml:space="preserve">WiCyS Job Board++</t>
  </si>
  <si>
    <t xml:space="preserve">Year-round WiCyS career platform where members upload resumes and apply to internships and jobs posted by partner organisations.</t>
  </si>
  <si>
    <t xml:space="preserve">https://www.wicys.org/initiatives/job-board/</t>
  </si>
  <si>
    <t xml:space="preserve">Live (© 2026). Login for WiCyS members and strategic partners only; membership fees are shown in an image on wicys.org/benefits and were not captured.</t>
  </si>
  <si>
    <t xml:space="preserve">JOB-007</t>
  </si>
  <si>
    <t xml:space="preserve">CyberSeek</t>
  </si>
  <si>
    <t xml:space="preserve">Career data</t>
  </si>
  <si>
    <t xml:space="preserve">Interactive US data on cybersecurity job demand, workforce supply and career pathways, from CompTIA, Lightcast and NICE.</t>
  </si>
  <si>
    <t xml:space="preserve">https://www.cyberseek.org/</t>
  </si>
  <si>
    <t xml:space="preserve">CompTIA, Lightcast and NICE (NIST)</t>
  </si>
  <si>
    <t xml:space="preserve">Live. Latest dated items: June 2025 data release; hiring data for May 2024–Apr 2025; heat map for Sep 2023–Aug 2024.</t>
  </si>
  <si>
    <t xml:space="preserve">JOB-008</t>
  </si>
  <si>
    <t xml:space="preserve">CyberSecurityJobs.com</t>
  </si>
  <si>
    <t xml:space="preserve">Job board for cybersecurity roles, mostly in the US, with salary and career guidance pages.</t>
  </si>
  <si>
    <t xml:space="preserve">https://www.cybersecurityjobs.com/</t>
  </si>
  <si>
    <t xml:space="preserve">Cyber Security Jobs</t>
  </si>
  <si>
    <t xml:space="preserve">Live; postings dated up to 28 Oct 2026, a few outside the US. Search and job posting run on jobs.cybersecurityjobs.com.</t>
  </si>
  <si>
    <t xml:space="preserve">JOB-009</t>
  </si>
  <si>
    <t xml:space="preserve">Cyber Security Jobsite</t>
  </si>
  <si>
    <t xml:space="preserve">UK job board for permanent and contract cyber security roles across government, consulting and industry.</t>
  </si>
  <si>
    <t xml:space="preserve">https://www.cybersecurityjobsite.com/</t>
  </si>
  <si>
    <t xml:space="preserve">Satos Media</t>
  </si>
  <si>
    <t xml:space="preserve">Live (© 2016–2026); page title showed 7,311 live vacancies at check.</t>
  </si>
  <si>
    <t xml:space="preserve">JOB-010</t>
  </si>
  <si>
    <t xml:space="preserve">Careers in Cyber (CICS)</t>
  </si>
  <si>
    <t xml:space="preserve">UK-focused cyber security job board with permanent and contract listings and career articles on specialist roles.</t>
  </si>
  <si>
    <t xml:space="preserve">https://www.careersincyber.com/</t>
  </si>
  <si>
    <t xml:space="preserve">Careers in Cyber</t>
  </si>
  <si>
    <t xml:space="preserve">Listing and article pages on www.careersincyber.com found in search; one article page fetched, but listing pages returned errors. UK focus inferred from listings.</t>
  </si>
  <si>
    <t xml:space="preserve">JOB-011</t>
  </si>
  <si>
    <t xml:space="preserve">GCS Network – Job Platforms</t>
  </si>
  <si>
    <t xml:space="preserve">Career hub</t>
  </si>
  <si>
    <t xml:space="preserve">Global Cyber Security Network directory of cybersecurity and tech job platforms, with a short profile of each.</t>
  </si>
  <si>
    <t xml:space="preserve">https://globalcybersecuritynetwork.com/career-hub/job-platforms/</t>
  </si>
  <si>
    <t xml:space="preserve">Global Cyber Security Network</t>
  </si>
  <si>
    <t xml:space="preserve">Live (© 2026). A directory of other job boards rather than a job board itself.</t>
  </si>
  <si>
    <t xml:space="preserve">JOB-012</t>
  </si>
  <si>
    <t xml:space="preserve">Dice</t>
  </si>
  <si>
    <t xml:space="preserve">US tech job board with a large volume of cybersecurity listings, plus salary data and career advice.</t>
  </si>
  <si>
    <t xml:space="preserve">https://www.dice.com/</t>
  </si>
  <si>
    <t xml:space="preserve">Live; a cybersecurity search showed 11,234 results (Oct 2026). Free job-seeker profile.</t>
  </si>
  <si>
    <t xml:space="preserve">JOB-013</t>
  </si>
  <si>
    <t xml:space="preserve">MassCyberCenter Job Board</t>
  </si>
  <si>
    <t xml:space="preserve">Massachusetts cybersecurity job board aggregating openings from employers in the MassCyberCenter network.</t>
  </si>
  <si>
    <t xml:space="preserve">https://jobs.masscybercenter.org/jobs</t>
  </si>
  <si>
    <t xml:space="preserve">MassCyberCenter (Massachusetts Technology Collaborative)</t>
  </si>
  <si>
    <t xml:space="preserve">Library linked the masscybercenter.org homepage; changed to its job board. 507 jobs shown at check (Oct 2026). Powered by Getro.</t>
  </si>
  <si>
    <t xml:space="preserve">JOB-014</t>
  </si>
  <si>
    <t xml:space="preserve">IAPP Career Central</t>
  </si>
  <si>
    <t xml:space="preserve">IAPP job board for privacy, data protection and AI governance roles, filterable by country, work model and IAPP certification.</t>
  </si>
  <si>
    <t xml:space="preserve">https://iapp.org/community/career-central</t>
  </si>
  <si>
    <t xml:space="preserve">Live; listings visible without login (36 openings at check). Job alerts need an IAPP account.</t>
  </si>
  <si>
    <t xml:space="preserve">JOB-015</t>
  </si>
  <si>
    <t xml:space="preserve">ISACA Career Centre</t>
  </si>
  <si>
    <t xml:space="preserve">ISACA job board and career hub for IT audit, risk, governance, security and privacy professionals.</t>
  </si>
  <si>
    <t xml:space="preserve">https://www.isaca.org/career-center</t>
  </si>
  <si>
    <t xml:space="preserve">Live (© 2026). Job search runs on jobs.isaca.org (job-seeker link redirects to jobs.isaca.org/jobseekers/). Free account to post a resume and apply.</t>
  </si>
  <si>
    <t xml:space="preserve">JOB-016</t>
  </si>
  <si>
    <t xml:space="preserve">USAJOBS</t>
  </si>
  <si>
    <t xml:space="preserve">Official US federal government job site, with dedicated portals for cybersecurity, IT and other cyber roles.</t>
  </si>
  <si>
    <t xml:space="preserve">https://www.usajobs.gov/</t>
  </si>
  <si>
    <t xml:space="preserve">US Office of Personnel Management</t>
  </si>
  <si>
    <t xml:space="preserve">Live. Cyber career portal: cybersecurity.usajobs.gov; federal tech portal: tech.usajobs.gov. Search 'privacy' for federal privacy roles.</t>
  </si>
  <si>
    <t xml:space="preserve">JOB-017</t>
  </si>
  <si>
    <t xml:space="preserve">DHS Cybersecurity Service</t>
  </si>
  <si>
    <t xml:space="preserve">USAJOBS portal for the DHS Cybersecurity Service, the Department of Homeland Security's cyber talent program.</t>
  </si>
  <si>
    <t xml:space="preserve">https://dhscs.usajobs.gov/</t>
  </si>
  <si>
    <t xml:space="preserve">US Department of Homeland Security</t>
  </si>
  <si>
    <t xml:space="preserve">Live portal with career tracks and job links. No dates shown on page.</t>
  </si>
  <si>
    <t xml:space="preserve">JOB-018</t>
  </si>
  <si>
    <t xml:space="preserve">ClearanceJobs</t>
  </si>
  <si>
    <t xml:space="preserve">Career network for US security-clearance holders, connecting them with defense, intelligence and federal contractor employers.</t>
  </si>
  <si>
    <t xml:space="preserve">https://www.clearancejobs.com/</t>
  </si>
  <si>
    <t xml:space="preserve">ClearanceJobs (DHI)</t>
  </si>
  <si>
    <t xml:space="preserve">Live (© 2026); 77,170 jobs from 1,819 employers at check. A DHI service, founded 2002. Job-seeker fees not stated.</t>
  </si>
  <si>
    <t xml:space="preserve">JOB-019</t>
  </si>
  <si>
    <t xml:space="preserve">Legal.io Jobs</t>
  </si>
  <si>
    <t xml:space="preserve">Legal job board and career network with roles such as privacy counsel, regulatory and compliance counsel and legal operations.</t>
  </si>
  <si>
    <t xml:space="preserve">https://www.legal.io/jobs</t>
  </si>
  <si>
    <t xml:space="preserve">Legal.io</t>
  </si>
  <si>
    <t xml:space="preserve">Live (© 2026). Free account. Role categories include Privacy Counsel and Regulatory &amp; Compliance Counsel.</t>
  </si>
  <si>
    <t xml:space="preserve">JOB-020</t>
  </si>
  <si>
    <t xml:space="preserve">IAPP Salary and Jobs Report 2025-26</t>
  </si>
  <si>
    <t xml:space="preserve">IAPP pay benchmarking for privacy, AI governance and digital responsibility roles, from a 2025 survey of 1,600+ respondents.</t>
  </si>
  <si>
    <t xml:space="preserve">https://www.iapp.org/resources/article/salary-survey-summary</t>
  </si>
  <si>
    <t xml:space="preserve">2025-26 edition, published 3 Aug 2025. Member-only content.</t>
  </si>
  <si>
    <t xml:space="preserve">JOB-021</t>
  </si>
  <si>
    <t xml:space="preserve">CyberSN Cybersecurity Jobs Report</t>
  </si>
  <si>
    <t xml:space="preserve">Analysis of US cybersecurity job postings by functional role, comparing 2026 demand with prior years.</t>
  </si>
  <si>
    <t xml:space="preserve">https://cybersn.com/resources/reports/cybersecurity-jobs-report</t>
  </si>
  <si>
    <t xml:space="preserve">Covers Jan–Sep 2026; data pulled 7 Oct 2026. Web version readable; PDF download requires a form.</t>
  </si>
  <si>
    <t xml:space="preserve">Code</t>
  </si>
  <si>
    <t xml:space="preserve">Display Name</t>
  </si>
  <si>
    <t xml:space="preserve">Links to check</t>
  </si>
  <si>
    <t xml:space="preserve">Kept from Notion</t>
  </si>
  <si>
    <t xml:space="preserve">LAW</t>
  </si>
  <si>
    <t xml:space="preserve">Primary legal texts on privacy, cybersecurity and AI, with current status and key dates.</t>
  </si>
  <si>
    <t xml:space="preserve">REG</t>
  </si>
  <si>
    <t xml:space="preserve">Authorities that enforce these laws and the guidance they publish.</t>
  </si>
  <si>
    <t xml:space="preserve">FRM</t>
  </si>
  <si>
    <t xml:space="preserve">Standards, control sets and principles used to build, assess and audit programs.</t>
  </si>
  <si>
    <t xml:space="preserve">CRT</t>
  </si>
  <si>
    <t xml:space="preserve">Professional credentials in privacy, security, AI governance and e-discovery, beginner to expert.</t>
  </si>
  <si>
    <t xml:space="preserve">LRN</t>
  </si>
  <si>
    <t xml:space="preserve">Courses, labs and training programs. Courses teach a subject; they are not certifications.</t>
  </si>
  <si>
    <t xml:space="preserve">EVT</t>
  </si>
  <si>
    <t xml:space="preserve">Conferences, summits and training events from November 2026 onward.</t>
  </si>
  <si>
    <t xml:space="preserve">RES</t>
  </si>
  <si>
    <t xml:space="preserve">Law trackers, enforcement databases, annual reports and research libraries.</t>
  </si>
  <si>
    <t xml:space="preserve">NWS</t>
  </si>
  <si>
    <t xml:space="preserve">News sites, newsletters and law-firm blogs that track developments.</t>
  </si>
  <si>
    <t xml:space="preserve">POD</t>
  </si>
  <si>
    <t xml:space="preserve">Shows on privacy, security, AI policy and tech law.</t>
  </si>
  <si>
    <t xml:space="preserve">BKS</t>
  </si>
  <si>
    <t xml:space="preserve">Foundational and current books and articles, checked against real publications.</t>
  </si>
  <si>
    <t xml:space="preserve">TLS</t>
  </si>
  <si>
    <t xml:space="preserve">Free or low-cost tools, templates and assessment kits practitioners use.</t>
  </si>
  <si>
    <t xml:space="preserve">COM</t>
  </si>
  <si>
    <t xml:space="preserve">Professional bodies, advocacy groups and communities to join.</t>
  </si>
  <si>
    <t xml:space="preserve">JOB</t>
  </si>
  <si>
    <t xml:space="preserve">Where to find roles, plus salary and workforce data.</t>
  </si>
  <si>
    <t xml:space="preserve">Total</t>
  </si>
  <si>
    <t xml:space="preserve">Resources by section and topic</t>
  </si>
  <si>
    <t xml:space="preserve">A resource can carry several topics, so rows add up to more than the section total.</t>
  </si>
  <si>
    <t xml:space="preserve">Section total</t>
  </si>
  <si>
    <t xml:space="preserve">All sections</t>
  </si>
  <si>
    <t xml:space="preserve">Old Section</t>
  </si>
  <si>
    <t xml:space="preserve">Reason</t>
  </si>
  <si>
    <t xml:space="preserve">Replaced By</t>
  </si>
  <si>
    <t xml:space="preserve">Notion</t>
  </si>
  <si>
    <t xml:space="preserve">Tools</t>
  </si>
  <si>
    <t xml:space="preserve">General productivity software, not specific to cyber, privacy, AI or tech law.</t>
  </si>
  <si>
    <t xml:space="preserve">Tools &amp; Templates section</t>
  </si>
  <si>
    <t xml:space="preserve">Google Drive</t>
  </si>
  <si>
    <t xml:space="preserve">Google Sheets</t>
  </si>
  <si>
    <t xml:space="preserve">Google Calendar</t>
  </si>
  <si>
    <t xml:space="preserve">Google Keep</t>
  </si>
  <si>
    <t xml:space="preserve">Trello</t>
  </si>
  <si>
    <t xml:space="preserve">Slack</t>
  </si>
  <si>
    <t xml:space="preserve">Lucidchart</t>
  </si>
  <si>
    <t xml:space="preserve">Figma</t>
  </si>
  <si>
    <t xml:space="preserve">Slidesgo</t>
  </si>
  <si>
    <t xml:space="preserve">Genially</t>
  </si>
  <si>
    <t xml:space="preserve">Piktochart</t>
  </si>
  <si>
    <t xml:space="preserve">Veed.io</t>
  </si>
  <si>
    <t xml:space="preserve">Quizlet</t>
  </si>
  <si>
    <t xml:space="preserve">MyBib</t>
  </si>
  <si>
    <t xml:space="preserve">Forest</t>
  </si>
  <si>
    <t xml:space="preserve">TED-Ed</t>
  </si>
  <si>
    <t xml:space="preserve">General education, no specific relevance.</t>
  </si>
  <si>
    <t xml:space="preserve">TED</t>
  </si>
  <si>
    <t xml:space="preserve">General talks, no specific relevance.</t>
  </si>
  <si>
    <t xml:space="preserve">OER Commons</t>
  </si>
  <si>
    <t xml:space="preserve">General open courseware.</t>
  </si>
  <si>
    <t xml:space="preserve">OpenStax</t>
  </si>
  <si>
    <t xml:space="preserve">General open textbooks.</t>
  </si>
  <si>
    <t xml:space="preserve">Skillshare</t>
  </si>
  <si>
    <t xml:space="preserve">Creative and business courses, little in these fields.</t>
  </si>
  <si>
    <t xml:space="preserve">Google Arts &amp; Culture</t>
  </si>
  <si>
    <t xml:space="preserve">Off-topic.</t>
  </si>
  <si>
    <t xml:space="preserve">Reflection Toolkit</t>
  </si>
  <si>
    <t xml:space="preserve">No link and unclear relevance.</t>
  </si>
  <si>
    <t xml:space="preserve">Yale Online</t>
  </si>
  <si>
    <t xml:space="preserve">No cyber, privacy, AI or tech-law courses found.</t>
  </si>
  <si>
    <t xml:space="preserve">PubMed</t>
  </si>
  <si>
    <t xml:space="preserve">Research</t>
  </si>
  <si>
    <t xml:space="preserve">Biomedical literature, off-topic.</t>
  </si>
  <si>
    <t xml:space="preserve">Google Scholar, SSRN, arXiv</t>
  </si>
  <si>
    <t xml:space="preserve">Google Public Data Explorer</t>
  </si>
  <si>
    <t xml:space="preserve">General statistics, off-topic.</t>
  </si>
  <si>
    <t xml:space="preserve">Eurostat</t>
  </si>
  <si>
    <t xml:space="preserve">General EU statistics, off-topic.</t>
  </si>
  <si>
    <t xml:space="preserve">data.europa.eu, EUR-Lex</t>
  </si>
  <si>
    <t xml:space="preserve">National Renewable Energy Laboratory Research</t>
  </si>
  <si>
    <t xml:space="preserve">Energy research, off-topic.</t>
  </si>
  <si>
    <t xml:space="preserve">Goodreads</t>
  </si>
  <si>
    <t xml:space="preserve">General book tracker.</t>
  </si>
  <si>
    <t xml:space="preserve">Privacy Books (list page)</t>
  </si>
  <si>
    <t xml:space="preserve">Repeated about 25 titles three times, used a third party's Amazon affiliate links, and included titles and authors that could not be matched to real books.</t>
  </si>
  <si>
    <t xml:space="preserve">31 individual book and article entries</t>
  </si>
  <si>
    <t xml:space="preserve">Cybersecurity Books (list page)</t>
  </si>
  <si>
    <t xml:space="preserve">List page with no verified entries.</t>
  </si>
  <si>
    <t xml:space="preserve">Individual book entries</t>
  </si>
  <si>
    <t xml:space="preserve">NinjaJobs</t>
  </si>
  <si>
    <t xml:space="preserve">Job Boards</t>
  </si>
  <si>
    <t xml:space="preserve">Site now redirects to a recruiting firm with no job listings.</t>
  </si>
  <si>
    <t xml:space="preserve">ISEC Jobs</t>
  </si>
  <si>
    <t xml:space="preserve">Site shut down on June 30, 2026.</t>
  </si>
  <si>
    <t xml:space="preserve">The Tech Law Hangout</t>
  </si>
  <si>
    <t xml:space="preserve">No episodes since September 2024; mostly IP and corporate law.</t>
  </si>
  <si>
    <t xml:space="preserve">Scaling Laws, Lawfare Daily</t>
  </si>
  <si>
    <t xml:space="preserve">BSidesNYC Conference (Oct 2024)</t>
  </si>
  <si>
    <t xml:space="preserve">Past event. The 2026 edition is also over and 2027 dates are not announced.</t>
  </si>
  <si>
    <t xml:space="preserve">Re-add when dates are published</t>
  </si>
  <si>
    <t xml:space="preserve">Hack The Railroad 2024</t>
  </si>
  <si>
    <t xml:space="preserve">Past event; next edition not found.</t>
  </si>
  <si>
    <t xml:space="preserve">Innovative Cybersecurity Summit – Scottsdale 2024</t>
  </si>
  <si>
    <t xml:space="preserve">The Data Security and Privacy Summit</t>
  </si>
  <si>
    <t xml:space="preserve">No date listed; next edition not found.</t>
  </si>
  <si>
    <t xml:space="preserve">Data Privacy Conference (Sep 2024)</t>
  </si>
  <si>
    <t xml:space="preserve">Compliance Week (Feb 2025)</t>
  </si>
  <si>
    <t xml:space="preserve">Past event. The organizer lists only the May 2026 edition so far.</t>
  </si>
  <si>
    <t xml:space="preserve">Re-add when 2027 dates are published</t>
  </si>
  <si>
    <t xml:space="preserve">CAMLIS Conference (Oct 2024)</t>
  </si>
  <si>
    <t xml:space="preserve">Past event. The 2026 edition is over and 2027 dates are not announced.</t>
  </si>
  <si>
    <t xml:space="preserve">Cyber Security Training at SANS Network Security (Sep 2024)</t>
  </si>
  <si>
    <t xml:space="preserve">Past event.</t>
  </si>
  <si>
    <t xml:space="preserve">DEF CON 32 (Aug 2024)</t>
  </si>
  <si>
    <t xml:space="preserve">Splunk .conf24 (Jun 2024)</t>
  </si>
  <si>
    <t xml:space="preserve">NICE Conference &amp; Expo</t>
  </si>
  <si>
    <t xml:space="preserve">Old entry had no date.</t>
  </si>
  <si>
    <t xml:space="preserve">GLEG – GIAC Law of Data Security &amp; Investigations</t>
  </si>
  <si>
    <t xml:space="preserve">Certifications (new)</t>
  </si>
  <si>
    <t xml:space="preserve">GIAC has put GLEG in abeyance; it is no longer available for purchase.</t>
  </si>
  <si>
    <t xml:space="preserve">Gartner Identity &amp; Access Management Summit USA (Dec 2024)</t>
  </si>
  <si>
    <t xml:space="preserve">Cybersecurity Conferences 2024–2025 (list page)</t>
  </si>
  <si>
    <t xml:space="preserve">Outdated list page.</t>
  </si>
  <si>
    <t xml:space="preserve">Individual event entries</t>
  </si>
  <si>
    <t xml:space="preserve">Certifications (placeholder page)</t>
  </si>
  <si>
    <t xml:space="preserve">Empty page in Notion.</t>
  </si>
  <si>
    <t xml:space="preserve">Certifications section (31 entries)</t>
  </si>
  <si>
    <t xml:space="preserve">Cyber SN (duplicate row)</t>
  </si>
  <si>
    <t xml:space="preserve">Duplicate of another row.</t>
  </si>
  <si>
    <t xml:space="preserve">(untitled row)</t>
  </si>
  <si>
    <t xml:space="preserve">Blank row in Notion.</t>
  </si>
</sst>
</file>

<file path=xl/styles.xml><?xml version="1.0" encoding="utf-8"?>
<styleSheet xmlns="http://schemas.openxmlformats.org/spreadsheetml/2006/main">
  <numFmts count="3">
    <numFmt numFmtId="164" formatCode="General"/>
    <numFmt numFmtId="165" formatCode="General"/>
    <numFmt numFmtId="166" formatCode="yyyy\-mm\-dd"/>
  </numFmts>
  <fonts count="11">
    <font>
      <sz val="11"/>
      <color theme="1"/>
      <name val="Calibri"/>
      <family val="2"/>
      <charset val="1"/>
    </font>
    <font>
      <sz val="10"/>
      <name val="Arial"/>
      <family val="0"/>
    </font>
    <font>
      <sz val="10"/>
      <name val="Arial"/>
      <family val="0"/>
    </font>
    <font>
      <sz val="10"/>
      <name val="Arial"/>
      <family val="0"/>
    </font>
    <font>
      <b val="true"/>
      <sz val="16"/>
      <color rgb="FF12162A"/>
      <name val="Arial"/>
      <family val="0"/>
      <charset val="1"/>
    </font>
    <font>
      <sz val="10"/>
      <color rgb="FF586079"/>
      <name val="Arial"/>
      <family val="0"/>
      <charset val="1"/>
    </font>
    <font>
      <b val="true"/>
      <sz val="12"/>
      <color rgb="FF12162A"/>
      <name val="Arial"/>
      <family val="0"/>
      <charset val="1"/>
    </font>
    <font>
      <sz val="10"/>
      <name val="Arial"/>
      <family val="0"/>
      <charset val="1"/>
    </font>
    <font>
      <b val="true"/>
      <sz val="10"/>
      <name val="Arial"/>
      <family val="0"/>
      <charset val="1"/>
    </font>
    <font>
      <b val="true"/>
      <sz val="10"/>
      <color rgb="FFFFFFFF"/>
      <name val="Arial"/>
      <family val="0"/>
      <charset val="1"/>
    </font>
    <font>
      <u val="single"/>
      <sz val="10"/>
      <color rgb="FF2F3BD6"/>
      <name val="Arial"/>
      <family val="0"/>
      <charset val="1"/>
    </font>
  </fonts>
  <fills count="3">
    <fill>
      <patternFill patternType="none"/>
    </fill>
    <fill>
      <patternFill patternType="gray125"/>
    </fill>
    <fill>
      <patternFill patternType="solid">
        <fgColor rgb="FF12162A"/>
        <bgColor rgb="FF000000"/>
      </patternFill>
    </fill>
  </fills>
  <borders count="2">
    <border diagonalUp="false" diagonalDown="false">
      <left/>
      <right/>
      <top/>
      <bottom/>
      <diagonal/>
    </border>
    <border diagonalUp="false" diagonalDown="false">
      <left/>
      <right/>
      <top/>
      <bottom style="thin">
        <color rgb="FFD5DA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2162A"/>
          <bgColor rgb="FF000000"/>
        </patternFill>
      </fill>
    </dxf>
    <dxf>
      <fill>
        <patternFill patternType="solid">
          <bgColor rgb="FF000000"/>
        </patternFill>
      </fill>
    </dxf>
    <dxf>
      <fill>
        <patternFill patternType="solid">
          <fgColor rgb="FFFFFFFF"/>
          <bgColor rgb="FF000000"/>
        </patternFill>
      </fill>
    </dxf>
    <dxf>
      <fill>
        <patternFill patternType="solid">
          <fgColor rgb="FF2F3BD6"/>
          <bgColor rgb="FF000000"/>
        </patternFill>
      </fill>
    </dxf>
    <dxf>
      <fill>
        <patternFill patternType="solid">
          <fgColor rgb="FFFBF1DC"/>
          <bgColor rgb="FF000000"/>
        </patternFill>
      </fill>
    </dxf>
    <dxf>
      <fill>
        <patternFill>
          <bgColor rgb="FFFBF1DC"/>
        </patternFill>
      </fill>
    </dxf>
    <dxf>
      <font>
        <name val="Arial"/>
        <charset val="1"/>
        <family val="0"/>
        <i val="1"/>
        <color rgb="FF8A90A2"/>
      </font>
      <fill>
        <patternFill>
          <bgColor rgb="FFEEF0F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1DC"/>
      <rgbColor rgb="FFEEF0F4"/>
      <rgbColor rgb="FF660066"/>
      <rgbColor rgb="FFFF8080"/>
      <rgbColor rgb="FF0066CC"/>
      <rgbColor rgb="FFD5DA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86079"/>
      <rgbColor rgb="FF8A90A2"/>
      <rgbColor rgb="FF003366"/>
      <rgbColor rgb="FF339966"/>
      <rgbColor rgb="FF12162A"/>
      <rgbColor rgb="FF333300"/>
      <rgbColor rgb="FF993300"/>
      <rgbColor rgb="FF993366"/>
      <rgbColor rgb="FF2F3BD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eur-lex.europa.eu/eli/reg/2016/679/oj/eng" TargetMode="External"/><Relationship Id="rId2" Type="http://schemas.openxmlformats.org/officeDocument/2006/relationships/hyperlink" Target="https://eur-lex.europa.eu/eli/reg/2024/1689/oj/eng" TargetMode="External"/><Relationship Id="rId3" Type="http://schemas.openxmlformats.org/officeDocument/2006/relationships/hyperlink" Target="https://eur-lex.europa.eu/eli/dir/2022/2555/oj/eng" TargetMode="External"/><Relationship Id="rId4" Type="http://schemas.openxmlformats.org/officeDocument/2006/relationships/hyperlink" Target="https://eur-lex.europa.eu/eli/reg/2022/2554/oj/eng" TargetMode="External"/><Relationship Id="rId5" Type="http://schemas.openxmlformats.org/officeDocument/2006/relationships/hyperlink" Target="https://eur-lex.europa.eu/eli/reg/2024/2847/oj/eng" TargetMode="External"/><Relationship Id="rId6" Type="http://schemas.openxmlformats.org/officeDocument/2006/relationships/hyperlink" Target="https://eur-lex.europa.eu/eli/reg/2023/2854/oj/eng" TargetMode="External"/><Relationship Id="rId7" Type="http://schemas.openxmlformats.org/officeDocument/2006/relationships/hyperlink" Target="https://eur-lex.europa.eu/eli/dir/2002/58/oj/eng" TargetMode="External"/><Relationship Id="rId8" Type="http://schemas.openxmlformats.org/officeDocument/2006/relationships/hyperlink" Target="https://www.legislation.gov.uk/ukpga/2018/12/contents" TargetMode="External"/><Relationship Id="rId9" Type="http://schemas.openxmlformats.org/officeDocument/2006/relationships/hyperlink" Target="https://www.legislation.gov.uk/ukpga/2025/18/contents" TargetMode="External"/><Relationship Id="rId10" Type="http://schemas.openxmlformats.org/officeDocument/2006/relationships/hyperlink" Target="https://www.ecfr.gov/current/title-45/subtitle-A/subchapter-C/part-164" TargetMode="External"/><Relationship Id="rId11" Type="http://schemas.openxmlformats.org/officeDocument/2006/relationships/hyperlink" Target="https://www.ecfr.gov/current/title-16/chapter-I/subchapter-C/part-314" TargetMode="External"/><Relationship Id="rId12" Type="http://schemas.openxmlformats.org/officeDocument/2006/relationships/hyperlink" Target="https://www.ecfr.gov/current/title-16/chapter-I/subchapter-C/part-312" TargetMode="External"/><Relationship Id="rId13" Type="http://schemas.openxmlformats.org/officeDocument/2006/relationships/hyperlink" Target="https://www.ecfr.gov/current/title-34/subtitle-A/part-99" TargetMode="External"/><Relationship Id="rId14" Type="http://schemas.openxmlformats.org/officeDocument/2006/relationships/hyperlink" Target="https://www.sec.gov/rules-regulations/2023/07/s7-09-22" TargetMode="External"/><Relationship Id="rId15" Type="http://schemas.openxmlformats.org/officeDocument/2006/relationships/hyperlink" Target="https://www.cisa.gov/topics/cyber-threats-and-advisories/information-sharing/cyber-incident-reporting-critical-infrastructure-act-2022-circia" TargetMode="External"/><Relationship Id="rId16" Type="http://schemas.openxmlformats.org/officeDocument/2006/relationships/hyperlink" Target="https://www.govinfo.gov/link/uscode/15/45" TargetMode="External"/><Relationship Id="rId17" Type="http://schemas.openxmlformats.org/officeDocument/2006/relationships/hyperlink" Target="https://leginfo.legislature.ca.gov/faces/codes_displayText.xhtml?division=3.&amp;lawCode=CIV&amp;part=4.&amp;title=1.81.5" TargetMode="External"/><Relationship Id="rId18" Type="http://schemas.openxmlformats.org/officeDocument/2006/relationships/hyperlink" Target="https://cppa.ca.gov/regulations/ccpa_updates.html" TargetMode="External"/><Relationship Id="rId19" Type="http://schemas.openxmlformats.org/officeDocument/2006/relationships/hyperlink" Target="https://leg.colorado.gov/bills/sb26-189" TargetMode="External"/><Relationship Id="rId20" Type="http://schemas.openxmlformats.org/officeDocument/2006/relationships/hyperlink" Target="https://capitol.texas.gov/tlodocs/89R/billtext/html/HB00149F.htm" TargetMode="External"/><Relationship Id="rId21" Type="http://schemas.openxmlformats.org/officeDocument/2006/relationships/hyperlink" Target="https://capitol.texas.gov/tlodocs/88R/billtext/html/HB00004F.htm" TargetMode="External"/><Relationship Id="rId22" Type="http://schemas.openxmlformats.org/officeDocument/2006/relationships/hyperlink" Target="https://law.lis.virginia.gov/vacodefull/title59.1/chapter53/" TargetMode="External"/><Relationship Id="rId23" Type="http://schemas.openxmlformats.org/officeDocument/2006/relationships/hyperlink" Target="https://www.ilga.gov/legislation/ilcs/ilcs3.asp?ActID=3004&amp;ChapterID=57" TargetMode="External"/><Relationship Id="rId24" Type="http://schemas.openxmlformats.org/officeDocument/2006/relationships/hyperlink" Target="https://www.nyc.gov/site/dca/about/automated-employment-decision-tools.page" TargetMode="External"/><Relationship Id="rId25" Type="http://schemas.openxmlformats.org/officeDocument/2006/relationships/hyperlink" Target="https://www.dfs.ny.gov/cybersecurity" TargetMode="External"/><Relationship Id="rId26" Type="http://schemas.openxmlformats.org/officeDocument/2006/relationships/hyperlink" Target="https://ndpc.gov.ng/wp-content/uploads/2024/03/Nigeria_Data_Protection_Act_2023.pdf" TargetMode="External"/><Relationship Id="rId27" Type="http://schemas.openxmlformats.org/officeDocument/2006/relationships/hyperlink" Target="https://ndpc.gov.ng/wp-content/uploads/2025/07/NDP-ACT-GAID-2025-MARCH-20TH.pdf" TargetMode="External"/><Relationship Id="rId28" Type="http://schemas.openxmlformats.org/officeDocument/2006/relationships/hyperlink" Target="https://www.gov.za/sites/default/files/gcis_document/201409/3706726-11act4of2013protectionofpersonalinforcorrect.pdf" TargetMode="External"/><Relationship Id="rId29" Type="http://schemas.openxmlformats.org/officeDocument/2006/relationships/hyperlink" Target="https://new.kenyalaw.org/akn/ke/act/2019/24/eng@2022-12-31" TargetMode="External"/><Relationship Id="rId30" Type="http://schemas.openxmlformats.org/officeDocument/2006/relationships/hyperlink" Target="https://www.planalto.gov.br/ccivil_03/_ato2015-2018/2018/lei/l13709compilado.htm" TargetMode="External"/><Relationship Id="rId31" Type="http://schemas.openxmlformats.org/officeDocument/2006/relationships/hyperlink" Target="https://www.meity.gov.in/static/uploads/2024/06/2bf1f0e9f04e6fb4f8fef35e82c42aa5.pdf" TargetMode="External"/><Relationship Id="rId32" Type="http://schemas.openxmlformats.org/officeDocument/2006/relationships/hyperlink" Target="https://laws-lois.justice.gc.ca/eng/acts/P-8.6/" TargetMode="External"/><Relationship Id="rId33" Type="http://schemas.openxmlformats.org/officeDocument/2006/relationships/hyperlink" Target="https://sso.agc.gov.sg/Act/PDPA2012" TargetMode="External"/><Relationship Id="rId34" Type="http://schemas.openxmlformats.org/officeDocument/2006/relationships/hyperlink" Target="https://www.ppc.go.jp/en/" TargetMode="External"/><Relationship Id="rId35" Type="http://schemas.openxmlformats.org/officeDocument/2006/relationships/hyperlink" Target="https://www.coe.int/en-GB/web/conventions/full-list2?module=signatures-by-treaty&amp;treatynum=225" TargetMode="External"/><Relationship Id="rId36" Type="http://schemas.openxmlformats.org/officeDocument/2006/relationships/hyperlink" Target="https://www.ftc.gov/" TargetMode="External"/><Relationship Id="rId37" Type="http://schemas.openxmlformats.org/officeDocument/2006/relationships/hyperlink" Target="https://privacy.ca.gov/about-us/about-calprivacy/" TargetMode="External"/><Relationship Id="rId38" Type="http://schemas.openxmlformats.org/officeDocument/2006/relationships/hyperlink" Target="https://www.hhs.gov/hipaa/index.html" TargetMode="External"/><Relationship Id="rId39" Type="http://schemas.openxmlformats.org/officeDocument/2006/relationships/hyperlink" Target="https://www.sec.gov/" TargetMode="External"/><Relationship Id="rId40" Type="http://schemas.openxmlformats.org/officeDocument/2006/relationships/hyperlink" Target="https://www.cisa.gov/about/resources-lawyers" TargetMode="External"/><Relationship Id="rId41" Type="http://schemas.openxmlformats.org/officeDocument/2006/relationships/hyperlink" Target="https://www.nist.gov/caisi" TargetMode="External"/><Relationship Id="rId42" Type="http://schemas.openxmlformats.org/officeDocument/2006/relationships/hyperlink" Target="https://www.edpb.europa.eu/" TargetMode="External"/><Relationship Id="rId43" Type="http://schemas.openxmlformats.org/officeDocument/2006/relationships/hyperlink" Target="https://digital-strategy.ec.europa.eu/en/policies/ai-office" TargetMode="External"/><Relationship Id="rId44" Type="http://schemas.openxmlformats.org/officeDocument/2006/relationships/hyperlink" Target="https://www.enisa.europa.eu/" TargetMode="External"/><Relationship Id="rId45" Type="http://schemas.openxmlformats.org/officeDocument/2006/relationships/hyperlink" Target="https://ico.org.uk/" TargetMode="External"/><Relationship Id="rId46" Type="http://schemas.openxmlformats.org/officeDocument/2006/relationships/hyperlink" Target="https://www.cnil.fr/en" TargetMode="External"/><Relationship Id="rId47" Type="http://schemas.openxmlformats.org/officeDocument/2006/relationships/hyperlink" Target="https://www.dataprotection.ie/" TargetMode="External"/><Relationship Id="rId48" Type="http://schemas.openxmlformats.org/officeDocument/2006/relationships/hyperlink" Target="https://ndpc.gov.ng/" TargetMode="External"/><Relationship Id="rId49" Type="http://schemas.openxmlformats.org/officeDocument/2006/relationships/hyperlink" Target="https://inforegulator.org.za/" TargetMode="External"/><Relationship Id="rId50" Type="http://schemas.openxmlformats.org/officeDocument/2006/relationships/hyperlink" Target="https://www.odpc.go.ke/" TargetMode="External"/><Relationship Id="rId51" Type="http://schemas.openxmlformats.org/officeDocument/2006/relationships/hyperlink" Target="https://www.priv.gc.ca/en/" TargetMode="External"/><Relationship Id="rId52" Type="http://schemas.openxmlformats.org/officeDocument/2006/relationships/hyperlink" Target="https://www.pdpc.gov.sg/" TargetMode="External"/><Relationship Id="rId53" Type="http://schemas.openxmlformats.org/officeDocument/2006/relationships/hyperlink" Target="https://globalprivacyassembly.com/" TargetMode="External"/><Relationship Id="rId54" Type="http://schemas.openxmlformats.org/officeDocument/2006/relationships/hyperlink" Target="https://www.texasattorneygeneral.gov/" TargetMode="External"/><Relationship Id="rId55" Type="http://schemas.openxmlformats.org/officeDocument/2006/relationships/hyperlink" Target="https://www.dfs.ny.gov/" TargetMode="External"/><Relationship Id="rId56" Type="http://schemas.openxmlformats.org/officeDocument/2006/relationships/hyperlink" Target="https://www.gov.br/anpd/pt-br" TargetMode="External"/><Relationship Id="rId57" Type="http://schemas.openxmlformats.org/officeDocument/2006/relationships/hyperlink" Target="https://www.nist.gov/cyberframework" TargetMode="External"/><Relationship Id="rId58" Type="http://schemas.openxmlformats.org/officeDocument/2006/relationships/hyperlink" Target="https://www.nist.gov/privacy-framework" TargetMode="External"/><Relationship Id="rId59" Type="http://schemas.openxmlformats.org/officeDocument/2006/relationships/hyperlink" Target="https://www.nist.gov/itl/ai-risk-management-framework" TargetMode="External"/><Relationship Id="rId60" Type="http://schemas.openxmlformats.org/officeDocument/2006/relationships/hyperlink" Target="https://nvlpubs.nist.gov/nistpubs/ai/NIST.AI.600-1.pdf" TargetMode="External"/><Relationship Id="rId61" Type="http://schemas.openxmlformats.org/officeDocument/2006/relationships/hyperlink" Target="https://csrc.nist.gov/pubs/sp/800/53/r5/upd1/final" TargetMode="External"/><Relationship Id="rId62" Type="http://schemas.openxmlformats.org/officeDocument/2006/relationships/hyperlink" Target="https://csrc.nist.gov/pubs/sp/800/61/r3/final" TargetMode="External"/><Relationship Id="rId63" Type="http://schemas.openxmlformats.org/officeDocument/2006/relationships/hyperlink" Target="https://www.iso.org/standard/27001" TargetMode="External"/><Relationship Id="rId64" Type="http://schemas.openxmlformats.org/officeDocument/2006/relationships/hyperlink" Target="https://www.iso.org/standard/75652.html" TargetMode="External"/><Relationship Id="rId65" Type="http://schemas.openxmlformats.org/officeDocument/2006/relationships/hyperlink" Target="https://www.iso.org/standard/27701" TargetMode="External"/><Relationship Id="rId66" Type="http://schemas.openxmlformats.org/officeDocument/2006/relationships/hyperlink" Target="https://www.iso.org/standard/42001" TargetMode="External"/><Relationship Id="rId67" Type="http://schemas.openxmlformats.org/officeDocument/2006/relationships/hyperlink" Target="https://www.iso.org/standard/77304.html" TargetMode="External"/><Relationship Id="rId68" Type="http://schemas.openxmlformats.org/officeDocument/2006/relationships/hyperlink" Target="https://www.iso.org/standard/85938.html" TargetMode="External"/><Relationship Id="rId69" Type="http://schemas.openxmlformats.org/officeDocument/2006/relationships/hyperlink" Target="https://www.iso.org/standard/84977.html" TargetMode="External"/><Relationship Id="rId70" Type="http://schemas.openxmlformats.org/officeDocument/2006/relationships/hyperlink" Target="https://www.aicpa-cima.com/resources/download/2017-trust-services-criteria-with-revised-points-of-focus-2022" TargetMode="External"/><Relationship Id="rId71" Type="http://schemas.openxmlformats.org/officeDocument/2006/relationships/hyperlink" Target="https://www.pcisecuritystandards.org/document_library/" TargetMode="External"/><Relationship Id="rId72" Type="http://schemas.openxmlformats.org/officeDocument/2006/relationships/hyperlink" Target="https://www.cisecurity.org/controls" TargetMode="External"/><Relationship Id="rId73" Type="http://schemas.openxmlformats.org/officeDocument/2006/relationships/hyperlink" Target="https://attack.mitre.org/" TargetMode="External"/><Relationship Id="rId74" Type="http://schemas.openxmlformats.org/officeDocument/2006/relationships/hyperlink" Target="https://atlas.mitre.org/" TargetMode="External"/><Relationship Id="rId75" Type="http://schemas.openxmlformats.org/officeDocument/2006/relationships/hyperlink" Target="https://genai.owasp.org/resource/owasp-genai-llm-top-10-2026/" TargetMode="External"/><Relationship Id="rId76" Type="http://schemas.openxmlformats.org/officeDocument/2006/relationships/hyperlink" Target="https://genai.owasp.org/resource/owasp-top-10-for-agentic-applications/" TargetMode="External"/><Relationship Id="rId77" Type="http://schemas.openxmlformats.org/officeDocument/2006/relationships/hyperlink" Target="https://owasp.org/Top10/2025/" TargetMode="External"/><Relationship Id="rId78" Type="http://schemas.openxmlformats.org/officeDocument/2006/relationships/hyperlink" Target="https://oecd.ai/en/ai-principles" TargetMode="External"/><Relationship Id="rId79" Type="http://schemas.openxmlformats.org/officeDocument/2006/relationships/hyperlink" Target="https://www.unesco.org/en/artificial-intelligence/recommendation-ethics" TargetMode="External"/><Relationship Id="rId80" Type="http://schemas.openxmlformats.org/officeDocument/2006/relationships/hyperlink" Target="https://www.fpc.gov/resources/fipps" TargetMode="External"/><Relationship Id="rId81" Type="http://schemas.openxmlformats.org/officeDocument/2006/relationships/hyperlink" Target="https://hitrustalliance.net/hitrust-framework" TargetMode="External"/><Relationship Id="rId82" Type="http://schemas.openxmlformats.org/officeDocument/2006/relationships/hyperlink" Target="https://cloudsecurityalliance.org/artifacts/cloud-controls-matrix-v4-1" TargetMode="External"/><Relationship Id="rId83" Type="http://schemas.openxmlformats.org/officeDocument/2006/relationships/hyperlink" Target="https://cloudsecurityalliance.org/artifacts/ai-controls-matrix-v1-1" TargetMode="External"/><Relationship Id="rId84" Type="http://schemas.openxmlformats.org/officeDocument/2006/relationships/hyperlink" Target="https://www.isaca.org/resources/cobit" TargetMode="External"/><Relationship Id="rId85" Type="http://schemas.openxmlformats.org/officeDocument/2006/relationships/hyperlink" Target="https://standards.ieee.org/ieee/7000/6781/" TargetMode="External"/><Relationship Id="rId86" Type="http://schemas.openxmlformats.org/officeDocument/2006/relationships/hyperlink" Target="https://instituteofprivacydesign.org/standards/" TargetMode="External"/><Relationship Id="rId87" Type="http://schemas.openxmlformats.org/officeDocument/2006/relationships/hyperlink" Target="https://www.iapp.org/certify/cippus" TargetMode="External"/><Relationship Id="rId88" Type="http://schemas.openxmlformats.org/officeDocument/2006/relationships/hyperlink" Target="https://www.iapp.org/certify/cippe" TargetMode="External"/><Relationship Id="rId89" Type="http://schemas.openxmlformats.org/officeDocument/2006/relationships/hyperlink" Target="https://www.iapp.org/certify/cippc" TargetMode="External"/><Relationship Id="rId90" Type="http://schemas.openxmlformats.org/officeDocument/2006/relationships/hyperlink" Target="https://www.iapp.org/certify/cippa" TargetMode="External"/><Relationship Id="rId91" Type="http://schemas.openxmlformats.org/officeDocument/2006/relationships/hyperlink" Target="https://www.iapp.org/certify/cipm" TargetMode="External"/><Relationship Id="rId92" Type="http://schemas.openxmlformats.org/officeDocument/2006/relationships/hyperlink" Target="https://www.iapp.org/certify/cipt" TargetMode="External"/><Relationship Id="rId93" Type="http://schemas.openxmlformats.org/officeDocument/2006/relationships/hyperlink" Target="https://www.iapp.org/certify/aigp" TargetMode="External"/><Relationship Id="rId94" Type="http://schemas.openxmlformats.org/officeDocument/2006/relationships/hyperlink" Target="https://iapp.org/certify/fip/" TargetMode="External"/><Relationship Id="rId95" Type="http://schemas.openxmlformats.org/officeDocument/2006/relationships/hyperlink" Target="https://www.iapp.org/certify/privacy-law-specialist" TargetMode="External"/><Relationship Id="rId96" Type="http://schemas.openxmlformats.org/officeDocument/2006/relationships/hyperlink" Target="https://www.isaca.org/credentialing/cdpse" TargetMode="External"/><Relationship Id="rId97" Type="http://schemas.openxmlformats.org/officeDocument/2006/relationships/hyperlink" Target="https://www.isaca.org/credentialing/cisa" TargetMode="External"/><Relationship Id="rId98" Type="http://schemas.openxmlformats.org/officeDocument/2006/relationships/hyperlink" Target="https://www.isaca.org/credentialing/cism" TargetMode="External"/><Relationship Id="rId99" Type="http://schemas.openxmlformats.org/officeDocument/2006/relationships/hyperlink" Target="https://www.isaca.org/credentialing/crisc" TargetMode="External"/><Relationship Id="rId100" Type="http://schemas.openxmlformats.org/officeDocument/2006/relationships/hyperlink" Target="https://www.isaca.org/credentialing/aaia" TargetMode="External"/><Relationship Id="rId101" Type="http://schemas.openxmlformats.org/officeDocument/2006/relationships/hyperlink" Target="https://www.isaca.org/credentialing/aaism" TargetMode="External"/><Relationship Id="rId102" Type="http://schemas.openxmlformats.org/officeDocument/2006/relationships/hyperlink" Target="https://www.isaca.org/credentialing/aair" TargetMode="External"/><Relationship Id="rId103" Type="http://schemas.openxmlformats.org/officeDocument/2006/relationships/hyperlink" Target="https://www.isc2.org/certifications/cc" TargetMode="External"/><Relationship Id="rId104" Type="http://schemas.openxmlformats.org/officeDocument/2006/relationships/hyperlink" Target="https://www.isc2.org/certifications/cissp" TargetMode="External"/><Relationship Id="rId105" Type="http://schemas.openxmlformats.org/officeDocument/2006/relationships/hyperlink" Target="https://www.isc2.org/certifications/ccsp" TargetMode="External"/><Relationship Id="rId106" Type="http://schemas.openxmlformats.org/officeDocument/2006/relationships/hyperlink" Target="https://www.isc2.org/certifications/cgrc" TargetMode="External"/><Relationship Id="rId107" Type="http://schemas.openxmlformats.org/officeDocument/2006/relationships/hyperlink" Target="https://www.comptia.org/en-us/certifications/security/v7/" TargetMode="External"/><Relationship Id="rId108" Type="http://schemas.openxmlformats.org/officeDocument/2006/relationships/hyperlink" Target="https://www.comptia.org/en-us/certifications/cybersecurity-analyst/" TargetMode="External"/><Relationship Id="rId109" Type="http://schemas.openxmlformats.org/officeDocument/2006/relationships/hyperlink" Target="https://www.comptia.org/en-us/certifications/securityx/" TargetMode="External"/><Relationship Id="rId110" Type="http://schemas.openxmlformats.org/officeDocument/2006/relationships/hyperlink" Target="https://www.sans.org/cyber-security-certifications/security-essentials-gsec" TargetMode="External"/><Relationship Id="rId111" Type="http://schemas.openxmlformats.org/officeDocument/2006/relationships/hyperlink" Target="https://www.eccouncil.org/train-certify/certified-ethical-hacker-ceh/" TargetMode="External"/><Relationship Id="rId112" Type="http://schemas.openxmlformats.org/officeDocument/2006/relationships/hyperlink" Target="https://www.offsec.com/courses/pen-200/" TargetMode="External"/><Relationship Id="rId113" Type="http://schemas.openxmlformats.org/officeDocument/2006/relationships/hyperlink" Target="https://pecb.com/en/education-and-certification-for-individuals/iso-iec-27001/iso-iec-27001-lead-implementer" TargetMode="External"/><Relationship Id="rId114" Type="http://schemas.openxmlformats.org/officeDocument/2006/relationships/hyperlink" Target="https://pecb.com/en/education-and-certification-for-individuals/iso-iec-27701/iso-iec-27701-lead-implementer" TargetMode="External"/><Relationship Id="rId115" Type="http://schemas.openxmlformats.org/officeDocument/2006/relationships/hyperlink" Target="https://pecb.com/en/education-and-certification-for-individuals/iso-iec-42001/iso-iec-42001-lead-implementer" TargetMode="External"/><Relationship Id="rId116" Type="http://schemas.openxmlformats.org/officeDocument/2006/relationships/hyperlink" Target="https://aceds.org/ceds-certifications/" TargetMode="External"/><Relationship Id="rId117" Type="http://schemas.openxmlformats.org/officeDocument/2006/relationships/hyperlink" Target="https://www.acilearning.com/" TargetMode="External"/><Relationship Id="rId118" Type="http://schemas.openxmlformats.org/officeDocument/2006/relationships/hyperlink" Target="https://www.cybrary.it/" TargetMode="External"/><Relationship Id="rId119" Type="http://schemas.openxmlformats.org/officeDocument/2006/relationships/hyperlink" Target="https://www.cisa.gov/topics/cybersecurity-best-practices/cybersecurity-training-exercises" TargetMode="External"/><Relationship Id="rId120" Type="http://schemas.openxmlformats.org/officeDocument/2006/relationships/hyperlink" Target="https://www.sans.org/" TargetMode="External"/><Relationship Id="rId121" Type="http://schemas.openxmlformats.org/officeDocument/2006/relationships/hyperlink" Target="https://www.edx.org/" TargetMode="External"/><Relationship Id="rId122" Type="http://schemas.openxmlformats.org/officeDocument/2006/relationships/hyperlink" Target="https://www.pluralsight.com/" TargetMode="External"/><Relationship Id="rId123" Type="http://schemas.openxmlformats.org/officeDocument/2006/relationships/hyperlink" Target="https://www.udacity.com/" TargetMode="External"/><Relationship Id="rId124" Type="http://schemas.openxmlformats.org/officeDocument/2006/relationships/hyperlink" Target="https://www.mcafeeinstitute.edu/" TargetMode="External"/><Relationship Id="rId125" Type="http://schemas.openxmlformats.org/officeDocument/2006/relationships/hyperlink" Target="https://www.codepath.org/" TargetMode="External"/><Relationship Id="rId126" Type="http://schemas.openxmlformats.org/officeDocument/2006/relationships/hyperlink" Target="https://www.stationx.net/" TargetMode="External"/><Relationship Id="rId127" Type="http://schemas.openxmlformats.org/officeDocument/2006/relationships/hyperlink" Target="https://tryhackme.com/" TargetMode="External"/><Relationship Id="rId128" Type="http://schemas.openxmlformats.org/officeDocument/2006/relationships/hyperlink" Target="https://www.hackthebox.com/" TargetMode="External"/><Relationship Id="rId129" Type="http://schemas.openxmlformats.org/officeDocument/2006/relationships/hyperlink" Target="https://online.stanford.edu/" TargetMode="External"/><Relationship Id="rId130" Type="http://schemas.openxmlformats.org/officeDocument/2006/relationships/hyperlink" Target="https://www.harvardonline.harvard.edu/" TargetMode="External"/><Relationship Id="rId131" Type="http://schemas.openxmlformats.org/officeDocument/2006/relationships/hyperlink" Target="https://iapp.org/train/" TargetMode="External"/><Relationship Id="rId132" Type="http://schemas.openxmlformats.org/officeDocument/2006/relationships/hyperlink" Target="https://www.iapp.org/train/aigp-training" TargetMode="External"/><Relationship Id="rId133" Type="http://schemas.openxmlformats.org/officeDocument/2006/relationships/hyperlink" Target="https://www.iapp.org/train/foundations" TargetMode="External"/><Relationship Id="rId134" Type="http://schemas.openxmlformats.org/officeDocument/2006/relationships/hyperlink" Target="https://www.privacybootcamp.com/" TargetMode="External"/><Relationship Id="rId135" Type="http://schemas.openxmlformats.org/officeDocument/2006/relationships/hyperlink" Target="https://www.infosecinstitute.com/training/iapp/" TargetMode="External"/><Relationship Id="rId136" Type="http://schemas.openxmlformats.org/officeDocument/2006/relationships/hyperlink" Target="https://www.sans.org/cyber-security-courses/security-essentials-network-endpoint-cloud" TargetMode="External"/><Relationship Id="rId137" Type="http://schemas.openxmlformats.org/officeDocument/2006/relationships/hyperlink" Target="https://www.sans.org/cyber-security-courses/cybersecurity-risk-management-compliance" TargetMode="External"/><Relationship Id="rId138" Type="http://schemas.openxmlformats.org/officeDocument/2006/relationships/hyperlink" Target="https://www.sans.org/cyber-security-courses/genai-llm-application-security" TargetMode="External"/><Relationship Id="rId139" Type="http://schemas.openxmlformats.org/officeDocument/2006/relationships/hyperlink" Target="https://www.sans.org/free-cybersecurity-events" TargetMode="External"/><Relationship Id="rId140" Type="http://schemas.openxmlformats.org/officeDocument/2006/relationships/hyperlink" Target="https://www.elementsofai.com/" TargetMode="External"/><Relationship Id="rId141" Type="http://schemas.openxmlformats.org/officeDocument/2006/relationships/hyperlink" Target="https://www.coursera.org/professional-certificates/google-cybersecurity" TargetMode="External"/><Relationship Id="rId142" Type="http://schemas.openxmlformats.org/officeDocument/2006/relationships/hyperlink" Target="https://www.netacad.com/" TargetMode="External"/><Relationship Id="rId143" Type="http://schemas.openxmlformats.org/officeDocument/2006/relationships/hyperlink" Target="https://portswigger.net/web-security" TargetMode="External"/><Relationship Id="rId144" Type="http://schemas.openxmlformats.org/officeDocument/2006/relationships/hyperlink" Target="https://cs50.harvard.edu/cybersecurity/" TargetMode="External"/><Relationship Id="rId145" Type="http://schemas.openxmlformats.org/officeDocument/2006/relationships/hyperlink" Target="https://www.coursera.org/learn/ai-for-everyone" TargetMode="External"/><Relationship Id="rId146" Type="http://schemas.openxmlformats.org/officeDocument/2006/relationships/hyperlink" Target="https://owasp.org/projects/juice-shop" TargetMode="External"/><Relationship Id="rId147" Type="http://schemas.openxmlformats.org/officeDocument/2006/relationships/hyperlink" Target="https://law.scu.edu/law/academics/courses-that-satisfy-certificate-requirements/" TargetMode="External"/><Relationship Id="rId148" Type="http://schemas.openxmlformats.org/officeDocument/2006/relationships/hyperlink" Target="https://www.sans.org/cyber-security-training-events/ai-summit-fall-2026" TargetMode="External"/><Relationship Id="rId149" Type="http://schemas.openxmlformats.org/officeDocument/2006/relationships/hyperlink" Target="https://www.privacysecurityacademy.com/psf-fall-conference/" TargetMode="External"/><Relationship Id="rId150" Type="http://schemas.openxmlformats.org/officeDocument/2006/relationships/hyperlink" Target="https://globalprivacyassembly.com/?p=6624707" TargetMode="External"/><Relationship Id="rId151" Type="http://schemas.openxmlformats.org/officeDocument/2006/relationships/hyperlink" Target="https://iapp.org/conference/iapp-europe-congress" TargetMode="External"/><Relationship Id="rId152" Type="http://schemas.openxmlformats.org/officeDocument/2006/relationships/hyperlink" Target="https://www.blackhat.com/upcoming.html" TargetMode="External"/><Relationship Id="rId153" Type="http://schemas.openxmlformats.org/officeDocument/2006/relationships/hyperlink" Target="https://iapp.org/conference/iapp-anz-summit" TargetMode="External"/><Relationship Id="rId154" Type="http://schemas.openxmlformats.org/officeDocument/2006/relationships/hyperlink" Target="https://www.isaca.org/training-and-events/conferences/isaca-virtual-conference" TargetMode="External"/><Relationship Id="rId155" Type="http://schemas.openxmlformats.org/officeDocument/2006/relationships/hyperlink" Target="https://www.blackhat.com/upcoming.html" TargetMode="External"/><Relationship Id="rId156" Type="http://schemas.openxmlformats.org/officeDocument/2006/relationships/hyperlink" Target="https://www.gartner.com/en/conferences/na/identity-access-management-us" TargetMode="External"/><Relationship Id="rId157" Type="http://schemas.openxmlformats.org/officeDocument/2006/relationships/hyperlink" Target="https://www.sans.org/cyber-security-training-events/cyber-defense-initiative-2026" TargetMode="External"/><Relationship Id="rId158" Type="http://schemas.openxmlformats.org/officeDocument/2006/relationships/hyperlink" Target="https://www.thesedonaconference.org/TSCI_2027" TargetMode="External"/><Relationship Id="rId159" Type="http://schemas.openxmlformats.org/officeDocument/2006/relationships/hyperlink" Target="https://umbonosa.co.za/data-privacy-protection-conference-registration/" TargetMode="External"/><Relationship Id="rId160" Type="http://schemas.openxmlformats.org/officeDocument/2006/relationships/hyperlink" Target="https://www.sans.org/cyber-security-training-events/cyber-threat-intelligence-summit-2027" TargetMode="External"/><Relationship Id="rId161" Type="http://schemas.openxmlformats.org/officeDocument/2006/relationships/hyperlink" Target="https://www.event.law.com/legalweek/venue" TargetMode="External"/><Relationship Id="rId162" Type="http://schemas.openxmlformats.org/officeDocument/2006/relationships/hyperlink" Target="https://techshow.com/conference/" TargetMode="External"/><Relationship Id="rId163" Type="http://schemas.openxmlformats.org/officeDocument/2006/relationships/hyperlink" Target="https://www.cpdpconferences.org/news/cpdp-2027-anniversary-edition" TargetMode="External"/><Relationship Id="rId164" Type="http://schemas.openxmlformats.org/officeDocument/2006/relationships/hyperlink" Target="https://www.wicys.org/events/wicys-2027/" TargetMode="External"/><Relationship Id="rId165" Type="http://schemas.openxmlformats.org/officeDocument/2006/relationships/hyperlink" Target="https://www.iapp.org/conference/iapp-global-summit" TargetMode="External"/><Relationship Id="rId166" Type="http://schemas.openxmlformats.org/officeDocument/2006/relationships/hyperlink" Target="https://conferences.law.stanford.edu/futurelaw/" TargetMode="External"/><Relationship Id="rId167" Type="http://schemas.openxmlformats.org/officeDocument/2006/relationships/hyperlink" Target="https://www.iapp.org/conference/iapp-uk-intensive" TargetMode="External"/><Relationship Id="rId168" Type="http://schemas.openxmlformats.org/officeDocument/2006/relationships/hyperlink" Target="https://www.rsaconference.com/register-your-interest" TargetMode="External"/><Relationship Id="rId169" Type="http://schemas.openxmlformats.org/officeDocument/2006/relationships/hyperlink" Target="https://www.sans.org/cyber-security-training-events/sans-2027" TargetMode="External"/><Relationship Id="rId170" Type="http://schemas.openxmlformats.org/officeDocument/2006/relationships/hyperlink" Target="https://privacysymposium.org/" TargetMode="External"/><Relationship Id="rId171" Type="http://schemas.openxmlformats.org/officeDocument/2006/relationships/hyperlink" Target="https://www.isaca.org/training-and-events/conferences/isaca-north-america-conference" TargetMode="External"/><Relationship Id="rId172" Type="http://schemas.openxmlformats.org/officeDocument/2006/relationships/hyperlink" Target="https://globalinstitute.cloc.org/" TargetMode="External"/><Relationship Id="rId173" Type="http://schemas.openxmlformats.org/officeDocument/2006/relationships/hyperlink" Target="https://www.iapp.org/conference/iapp-canada-symposium" TargetMode="External"/><Relationship Id="rId174" Type="http://schemas.openxmlformats.org/officeDocument/2006/relationships/hyperlink" Target="https://privacyscholars.org/" TargetMode="External"/><Relationship Id="rId175" Type="http://schemas.openxmlformats.org/officeDocument/2006/relationships/hyperlink" Target="https://www.usenix.org/conferences/byname/1046" TargetMode="External"/><Relationship Id="rId176" Type="http://schemas.openxmlformats.org/officeDocument/2006/relationships/hyperlink" Target="https://www.nist.gov/news-events/events/18th-annual-nice-conference-and-expo" TargetMode="External"/><Relationship Id="rId177" Type="http://schemas.openxmlformats.org/officeDocument/2006/relationships/hyperlink" Target="https://www.infosecurityeurope.com/" TargetMode="External"/><Relationship Id="rId178" Type="http://schemas.openxmlformats.org/officeDocument/2006/relationships/hyperlink" Target="https://facctconference.org/2027/cfp.html" TargetMode="External"/><Relationship Id="rId179" Type="http://schemas.openxmlformats.org/officeDocument/2006/relationships/hyperlink" Target="https://genevaaisummit.swiss/" TargetMode="External"/><Relationship Id="rId180" Type="http://schemas.openxmlformats.org/officeDocument/2006/relationships/hyperlink" Target="https://defcon.org/" TargetMode="External"/><Relationship Id="rId181" Type="http://schemas.openxmlformats.org/officeDocument/2006/relationships/hyperlink" Target="https://www.iltacon.org/" TargetMode="External"/><Relationship Id="rId182" Type="http://schemas.openxmlformats.org/officeDocument/2006/relationships/hyperlink" Target="https://www.usenix.org/sec27" TargetMode="External"/><Relationship Id="rId183" Type="http://schemas.openxmlformats.org/officeDocument/2006/relationships/hyperlink" Target="https://www.iapp.org/conference/iapp-psr" TargetMode="External"/><Relationship Id="rId184" Type="http://schemas.openxmlformats.org/officeDocument/2006/relationships/hyperlink" Target="https://www.sans.org/cyber-security-training-events/network-security-2027" TargetMode="External"/><Relationship Id="rId185" Type="http://schemas.openxmlformats.org/officeDocument/2006/relationships/hyperlink" Target="https://conf.splunk.com/" TargetMode="External"/><Relationship Id="rId186" Type="http://schemas.openxmlformats.org/officeDocument/2006/relationships/hyperlink" Target="https://www.odpc.go.ke/?p=5134" TargetMode="External"/><Relationship Id="rId187" Type="http://schemas.openxmlformats.org/officeDocument/2006/relationships/hyperlink" Target="https://scholar.google.com/" TargetMode="External"/><Relationship Id="rId188" Type="http://schemas.openxmlformats.org/officeDocument/2006/relationships/hyperlink" Target="https://data.europa.eu/en" TargetMode="External"/><Relationship Id="rId189" Type="http://schemas.openxmlformats.org/officeDocument/2006/relationships/hyperlink" Target="https://digitallibrary.un.org/" TargetMode="External"/><Relationship Id="rId190" Type="http://schemas.openxmlformats.org/officeDocument/2006/relationships/hyperlink" Target="https://iapp.org/resources/article/us-state-privacy-legislation-tracker" TargetMode="External"/><Relationship Id="rId191" Type="http://schemas.openxmlformats.org/officeDocument/2006/relationships/hyperlink" Target="https://www.iapp.org/resources/article/global-ai-legislation-tracker" TargetMode="External"/><Relationship Id="rId192" Type="http://schemas.openxmlformats.org/officeDocument/2006/relationships/hyperlink" Target="https://iapp.org/resources/article/us-state-ai-governance-legislation-tracker" TargetMode="External"/><Relationship Id="rId193" Type="http://schemas.openxmlformats.org/officeDocument/2006/relationships/hyperlink" Target="https://iapp.org/resources/global-privacy-directory" TargetMode="External"/><Relationship Id="rId194" Type="http://schemas.openxmlformats.org/officeDocument/2006/relationships/hyperlink" Target="https://www.isaca.org/resources/state-of-cybersecurity" TargetMode="External"/><Relationship Id="rId195" Type="http://schemas.openxmlformats.org/officeDocument/2006/relationships/hyperlink" Target="https://gdprhub.eu/index.php?title=Welcome_to_GDPRhub" TargetMode="External"/><Relationship Id="rId196" Type="http://schemas.openxmlformats.org/officeDocument/2006/relationships/hyperlink" Target="https://www.enforcementtracker.com/" TargetMode="External"/><Relationship Id="rId197" Type="http://schemas.openxmlformats.org/officeDocument/2006/relationships/hyperlink" Target="https://dlapiperdataprotection.com/" TargetMode="External"/><Relationship Id="rId198" Type="http://schemas.openxmlformats.org/officeDocument/2006/relationships/hyperlink" Target="https://oecd.ai/en/" TargetMode="External"/><Relationship Id="rId199" Type="http://schemas.openxmlformats.org/officeDocument/2006/relationships/hyperlink" Target="https://hai.stanford.edu/ai-index/2026-ai-index-report" TargetMode="External"/><Relationship Id="rId200" Type="http://schemas.openxmlformats.org/officeDocument/2006/relationships/hyperlink" Target="https://incidentdatabase.ai/" TargetMode="External"/><Relationship Id="rId201" Type="http://schemas.openxmlformats.org/officeDocument/2006/relationships/hyperlink" Target="https://www.verizon.com/business/resources/reports/dbir/" TargetMode="External"/><Relationship Id="rId202" Type="http://schemas.openxmlformats.org/officeDocument/2006/relationships/hyperlink" Target="https://www.ibm.com/reports/data-breach" TargetMode="External"/><Relationship Id="rId203" Type="http://schemas.openxmlformats.org/officeDocument/2006/relationships/hyperlink" Target="https://www.enisa.europa.eu/publications/enisa-threat-landscape-2026" TargetMode="External"/><Relationship Id="rId204" Type="http://schemas.openxmlformats.org/officeDocument/2006/relationships/hyperlink" Target="https://www.cisa.gov/news-events/cybersecurity-advisories" TargetMode="External"/><Relationship Id="rId205" Type="http://schemas.openxmlformats.org/officeDocument/2006/relationships/hyperlink" Target="https://www.ssrn.com/index.cfm/en/" TargetMode="External"/><Relationship Id="rId206" Type="http://schemas.openxmlformats.org/officeDocument/2006/relationships/hyperlink" Target="https://arxiv.org/list/cs.CR/recent" TargetMode="External"/><Relationship Id="rId207" Type="http://schemas.openxmlformats.org/officeDocument/2006/relationships/hyperlink" Target="https://www.courtlistener.com/" TargetMode="External"/><Relationship Id="rId208" Type="http://schemas.openxmlformats.org/officeDocument/2006/relationships/hyperlink" Target="https://eur-lex.europa.eu/" TargetMode="External"/><Relationship Id="rId209" Type="http://schemas.openxmlformats.org/officeDocument/2006/relationships/hyperlink" Target="https://privacyrights.org/data-breaches" TargetMode="External"/><Relationship Id="rId210" Type="http://schemas.openxmlformats.org/officeDocument/2006/relationships/hyperlink" Target="https://unctad.org/page/data-protection-and-privacy-legislation-worldwide" TargetMode="External"/><Relationship Id="rId211" Type="http://schemas.openxmlformats.org/officeDocument/2006/relationships/hyperlink" Target="https://www.cve.org/" TargetMode="External"/><Relationship Id="rId212" Type="http://schemas.openxmlformats.org/officeDocument/2006/relationships/hyperlink" Target="https://algorithmwatch.org/en/" TargetMode="External"/><Relationship Id="rId213" Type="http://schemas.openxmlformats.org/officeDocument/2006/relationships/hyperlink" Target="https://cset.georgetown.edu/" TargetMode="External"/><Relationship Id="rId214" Type="http://schemas.openxmlformats.org/officeDocument/2006/relationships/hyperlink" Target="https://iapp.org/news/subscriptions" TargetMode="External"/><Relationship Id="rId215" Type="http://schemas.openxmlformats.org/officeDocument/2006/relationships/hyperlink" Target="https://www.lawfaremedia.org/" TargetMode="External"/><Relationship Id="rId216" Type="http://schemas.openxmlformats.org/officeDocument/2006/relationships/hyperlink" Target="https://www.techpolicy.press/" TargetMode="External"/><Relationship Id="rId217" Type="http://schemas.openxmlformats.org/officeDocument/2006/relationships/hyperlink" Target="https://therecord.media/" TargetMode="External"/><Relationship Id="rId218" Type="http://schemas.openxmlformats.org/officeDocument/2006/relationships/hyperlink" Target="https://krebsonsecurity.com/" TargetMode="External"/><Relationship Id="rId219" Type="http://schemas.openxmlformats.org/officeDocument/2006/relationships/hyperlink" Target="https://www.darkreading.com/" TargetMode="External"/><Relationship Id="rId220" Type="http://schemas.openxmlformats.org/officeDocument/2006/relationships/hyperlink" Target="https://www.bleepingcomputer.com/" TargetMode="External"/><Relationship Id="rId221" Type="http://schemas.openxmlformats.org/officeDocument/2006/relationships/hyperlink" Target="https://news.risky.biz/" TargetMode="External"/><Relationship Id="rId222" Type="http://schemas.openxmlformats.org/officeDocument/2006/relationships/hyperlink" Target="https://cyberscoop.com/" TargetMode="External"/><Relationship Id="rId223" Type="http://schemas.openxmlformats.org/officeDocument/2006/relationships/hyperlink" Target="https://www.schneier.com/" TargetMode="External"/><Relationship Id="rId224" Type="http://schemas.openxmlformats.org/officeDocument/2006/relationships/hyperlink" Target="https://importai.substack.com/" TargetMode="External"/><Relationship Id="rId225" Type="http://schemas.openxmlformats.org/officeDocument/2006/relationships/hyperlink" Target="https://www.transformernews.ai/" TargetMode="External"/><Relationship Id="rId226" Type="http://schemas.openxmlformats.org/officeDocument/2006/relationships/hyperlink" Target="https://artificialintelligenceact.substack.com/" TargetMode="External"/><Relationship Id="rId227" Type="http://schemas.openxmlformats.org/officeDocument/2006/relationships/hyperlink" Target="https://www.mlex.com/" TargetMode="External"/><Relationship Id="rId228" Type="http://schemas.openxmlformats.org/officeDocument/2006/relationships/hyperlink" Target="https://www.euractiv.com/" TargetMode="External"/><Relationship Id="rId229" Type="http://schemas.openxmlformats.org/officeDocument/2006/relationships/hyperlink" Target="https://privacymatters.dlapiper.com/" TargetMode="External"/><Relationship Id="rId230" Type="http://schemas.openxmlformats.org/officeDocument/2006/relationships/hyperlink" Target="https://www.hunton.com/privacy-and-cybersecurity-law-blog/" TargetMode="External"/><Relationship Id="rId231" Type="http://schemas.openxmlformats.org/officeDocument/2006/relationships/hyperlink" Target="https://www.insideprivacy.com/" TargetMode="External"/><Relationship Id="rId232" Type="http://schemas.openxmlformats.org/officeDocument/2006/relationships/hyperlink" Target="https://noyb.eu/en/news" TargetMode="External"/><Relationship Id="rId233" Type="http://schemas.openxmlformats.org/officeDocument/2006/relationships/hyperlink" Target="https://techcabal.com/" TargetMode="External"/><Relationship Id="rId234" Type="http://schemas.openxmlformats.org/officeDocument/2006/relationships/hyperlink" Target="https://techpoint.africa/" TargetMode="External"/><Relationship Id="rId235" Type="http://schemas.openxmlformats.org/officeDocument/2006/relationships/hyperlink" Target="https://www.platformer.news/" TargetMode="External"/><Relationship Id="rId236" Type="http://schemas.openxmlformats.org/officeDocument/2006/relationships/hyperlink" Target="https://podcasts.apple.com/us/podcast/the-data-protection-breakfast-club-with-andy-pedro/id1559290322" TargetMode="External"/><Relationship Id="rId237" Type="http://schemas.openxmlformats.org/officeDocument/2006/relationships/hyperlink" Target="https://www.buzzsprout.com/1614655" TargetMode="External"/><Relationship Id="rId238" Type="http://schemas.openxmlformats.org/officeDocument/2006/relationships/hyperlink" Target="https://podcasts.apple.com/us/podcast/serious-privacy/id1497388342" TargetMode="External"/><Relationship Id="rId239" Type="http://schemas.openxmlformats.org/officeDocument/2006/relationships/hyperlink" Target="https://podcasts.apple.com/us/podcast/the-data-diva-talks-privacy-podcast/id1559159451" TargetMode="External"/><Relationship Id="rId240" Type="http://schemas.openxmlformats.org/officeDocument/2006/relationships/hyperlink" Target="https://podcasts.apple.com/us/podcast/the-privacy-advisor-podcast/id1095382766" TargetMode="External"/><Relationship Id="rId241" Type="http://schemas.openxmlformats.org/officeDocument/2006/relationships/hyperlink" Target="https://huschblackwell.com/data-privacy-unlocked-state-privacy-podcast" TargetMode="External"/><Relationship Id="rId242" Type="http://schemas.openxmlformats.org/officeDocument/2006/relationships/hyperlink" Target="https://thecyberwire.com/podcasts/caveat" TargetMode="External"/><Relationship Id="rId243" Type="http://schemas.openxmlformats.org/officeDocument/2006/relationships/hyperlink" Target="https://privacypleasepodcast.buzzsprout.com/622234" TargetMode="External"/><Relationship Id="rId244" Type="http://schemas.openxmlformats.org/officeDocument/2006/relationships/hyperlink" Target="https://podcasts.apple.com/us/podcast/risky-business/id216478078" TargetMode="External"/><Relationship Id="rId245" Type="http://schemas.openxmlformats.org/officeDocument/2006/relationships/hyperlink" Target="https://darknetdiaries.com/" TargetMode="External"/><Relationship Id="rId246" Type="http://schemas.openxmlformats.org/officeDocument/2006/relationships/hyperlink" Target="https://twit.tv/shows/security-now" TargetMode="External"/><Relationship Id="rId247" Type="http://schemas.openxmlformats.org/officeDocument/2006/relationships/hyperlink" Target="https://thecyberwire.com/podcasts/daily-podcast" TargetMode="External"/><Relationship Id="rId248" Type="http://schemas.openxmlformats.org/officeDocument/2006/relationships/hyperlink" Target="https://www.lawfaremedia.org/podcast" TargetMode="External"/><Relationship Id="rId249" Type="http://schemas.openxmlformats.org/officeDocument/2006/relationships/hyperlink" Target="https://podcasts.apple.com/us/podcast/id1607949880" TargetMode="External"/><Relationship Id="rId250" Type="http://schemas.openxmlformats.org/officeDocument/2006/relationships/hyperlink" Target="https://podcasts.apple.com/us/podcast/hard-fork/id1528594034" TargetMode="External"/><Relationship Id="rId251" Type="http://schemas.openxmlformats.org/officeDocument/2006/relationships/hyperlink" Target="https://podcasts.apple.com/ca/podcast/practical-ai/id1406537385" TargetMode="External"/><Relationship Id="rId252" Type="http://schemas.openxmlformats.org/officeDocument/2006/relationships/hyperlink" Target="https://www.csis.org/podcasts/ai-policy-podcast" TargetMode="External"/><Relationship Id="rId253" Type="http://schemas.openxmlformats.org/officeDocument/2006/relationships/hyperlink" Target="https://podcasts.apple.com/gb/podcast/your-undivided-attention/id1460030305" TargetMode="External"/><Relationship Id="rId254" Type="http://schemas.openxmlformats.org/officeDocument/2006/relationships/hyperlink" Target="https://podcasts.apple.com/podcast/id1099711235" TargetMode="External"/><Relationship Id="rId255" Type="http://schemas.openxmlformats.org/officeDocument/2006/relationships/hyperlink" Target="https://therecord.media/podcast" TargetMode="External"/><Relationship Id="rId256" Type="http://schemas.openxmlformats.org/officeDocument/2006/relationships/hyperlink" Target="https://www.jstor.org/stable/1321160" TargetMode="External"/><Relationship Id="rId257" Type="http://schemas.openxmlformats.org/officeDocument/2006/relationships/hyperlink" Target="https://www.hachettebookgroup.com/titles/shoshana-zuboff/the-age-of-surveillance-capitalism/9781610395694/?lens=publicaffairs" TargetMode="External"/><Relationship Id="rId258" Type="http://schemas.openxmlformats.org/officeDocument/2006/relationships/hyperlink" Target="https://www.sup.org/books/law/privacy-context" TargetMode="External"/><Relationship Id="rId259" Type="http://schemas.openxmlformats.org/officeDocument/2006/relationships/hyperlink" Target="https://www.hup.harvard.edu/books/9780674035072" TargetMode="External"/><Relationship Id="rId260" Type="http://schemas.openxmlformats.org/officeDocument/2006/relationships/hyperlink" Target="https://www.hup.harvard.edu/books/9780674976009" TargetMode="External"/><Relationship Id="rId261" Type="http://schemas.openxmlformats.org/officeDocument/2006/relationships/hyperlink" Target="https://mitpress.mit.edu/9780262529860/obfuscation/" TargetMode="External"/><Relationship Id="rId262" Type="http://schemas.openxmlformats.org/officeDocument/2006/relationships/hyperlink" Target="https://us.macmillan.com/books/9781250060860/dragnetnation/" TargetMode="External"/><Relationship Id="rId263" Type="http://schemas.openxmlformats.org/officeDocument/2006/relationships/hyperlink" Target="https://wwnorton.com/books/9780393352177" TargetMode="External"/><Relationship Id="rId264" Type="http://schemas.openxmlformats.org/officeDocument/2006/relationships/hyperlink" Target="https://aspenpublishing.com/products/solove-privacy8" TargetMode="External"/><Relationship Id="rId265" Type="http://schemas.openxmlformats.org/officeDocument/2006/relationships/hyperlink" Target="https://link.springer.com/book/10.1007/978-1-4302-6356-2" TargetMode="External"/><Relationship Id="rId266" Type="http://schemas.openxmlformats.org/officeDocument/2006/relationships/hyperlink" Target="https://mitpress.mit.edu/9780262029988/privacy-on-the-ground/" TargetMode="External"/><Relationship Id="rId267" Type="http://schemas.openxmlformats.org/officeDocument/2006/relationships/hyperlink" Target="https://benbellabooks.com/shop/cyber-privacy/" TargetMode="External"/><Relationship Id="rId268" Type="http://schemas.openxmlformats.org/officeDocument/2006/relationships/hyperlink" Target="https://www.penguinrandomhouse.com/books/597684/sandworm-by-andy-greenberg/" TargetMode="External"/><Relationship Id="rId269" Type="http://schemas.openxmlformats.org/officeDocument/2006/relationships/hyperlink" Target="https://openlibrary.org/works/OL24313631W" TargetMode="External"/><Relationship Id="rId270" Type="http://schemas.openxmlformats.org/officeDocument/2006/relationships/hyperlink" Target="https://www.penguinrandomhouse.com/books/219931/countdown-to-zero-day-by-kim-zetter/" TargetMode="External"/><Relationship Id="rId271" Type="http://schemas.openxmlformats.org/officeDocument/2006/relationships/hyperlink" Target="https://www.hup.harvard.edu/books/9780674271029" TargetMode="External"/><Relationship Id="rId272" Type="http://schemas.openxmlformats.org/officeDocument/2006/relationships/hyperlink" Target="https://www.penguinrandomhouse.com/books/241363/weapons-of-math-destruction-by-cathy-oneil/" TargetMode="External"/><Relationship Id="rId273" Type="http://schemas.openxmlformats.org/officeDocument/2006/relationships/hyperlink" Target="https://yalebooks.yale.edu/book/9780300264630/atlas-of-ai/" TargetMode="External"/><Relationship Id="rId274" Type="http://schemas.openxmlformats.org/officeDocument/2006/relationships/hyperlink" Target="https://wwnorton.com/books/9780393635829" TargetMode="External"/><Relationship Id="rId275" Type="http://schemas.openxmlformats.org/officeDocument/2006/relationships/hyperlink" Target="https://www.penguinrandomhouse.com/books/670356/unmasking-ai-by-dr-joy-buolamwini/" TargetMode="External"/><Relationship Id="rId276" Type="http://schemas.openxmlformats.org/officeDocument/2006/relationships/hyperlink" Target="https://press.princeton.edu/books/hardcover/9780691249131/ai-snake-oil" TargetMode="External"/><Relationship Id="rId277" Type="http://schemas.openxmlformats.org/officeDocument/2006/relationships/hyperlink" Target="https://global.oup.com/academic/product/digital-empires-9780197649268" TargetMode="External"/><Relationship Id="rId278" Type="http://schemas.openxmlformats.org/officeDocument/2006/relationships/hyperlink" Target="https://global.oup.com/academic/product/the-brussels-effect-9780190088583" TargetMode="External"/><Relationship Id="rId279" Type="http://schemas.openxmlformats.org/officeDocument/2006/relationships/hyperlink" Target="https://www.wiley-vch.de/de/fachgebiete/computer-und-informatik/cybersecurity-law-978-1-394-26589-3" TargetMode="External"/><Relationship Id="rId280" Type="http://schemas.openxmlformats.org/officeDocument/2006/relationships/hyperlink" Target="https://cornellpress.cornell.edu/book/9781501714412/the-twenty-six-words-that-created-the-internet/" TargetMode="External"/><Relationship Id="rId281" Type="http://schemas.openxmlformats.org/officeDocument/2006/relationships/hyperlink" Target="https://global.oup.com/academic/product/on-privacy-and-technology-9780197771686" TargetMode="External"/><Relationship Id="rId282" Type="http://schemas.openxmlformats.org/officeDocument/2006/relationships/hyperlink" Target="https://www.penguin.co.uk/books/442343/privacy-is-power-by-carissa-veliz/9780552177719" TargetMode="External"/><Relationship Id="rId283" Type="http://schemas.openxmlformats.org/officeDocument/2006/relationships/hyperlink" Target="https://wwnorton.com/books/9780393866667" TargetMode="External"/><Relationship Id="rId284" Type="http://schemas.openxmlformats.org/officeDocument/2006/relationships/hyperlink" Target="https://global.oup.com/academic/product/breached-9780190940553" TargetMode="External"/><Relationship Id="rId285" Type="http://schemas.openxmlformats.org/officeDocument/2006/relationships/hyperlink" Target="https://www.codev2.cc/" TargetMode="External"/><Relationship Id="rId286" Type="http://schemas.openxmlformats.org/officeDocument/2006/relationships/hyperlink" Target="https://www.hup.harvard.edu/books/9780674970847" TargetMode="External"/><Relationship Id="rId287" Type="http://schemas.openxmlformats.org/officeDocument/2006/relationships/hyperlink" Target="https://csrc.nist.gov/Projects/cybersecurity-framework/Filters" TargetMode="External"/><Relationship Id="rId288" Type="http://schemas.openxmlformats.org/officeDocument/2006/relationships/hyperlink" Target="https://www.nist.gov/cyberframework/quick-start-guides" TargetMode="External"/><Relationship Id="rId289" Type="http://schemas.openxmlformats.org/officeDocument/2006/relationships/hyperlink" Target="https://www.nist.gov/privacy-framework/resource-repository" TargetMode="External"/><Relationship Id="rId290" Type="http://schemas.openxmlformats.org/officeDocument/2006/relationships/hyperlink" Target="https://airc.nist.gov/airmf-resources/playbook/" TargetMode="External"/><Relationship Id="rId291" Type="http://schemas.openxmlformats.org/officeDocument/2006/relationships/hyperlink" Target="https://nvd.nist.gov/" TargetMode="External"/><Relationship Id="rId292" Type="http://schemas.openxmlformats.org/officeDocument/2006/relationships/hyperlink" Target="https://oecd.ai/en/catalogue/overview" TargetMode="External"/><Relationship Id="rId293" Type="http://schemas.openxmlformats.org/officeDocument/2006/relationships/hyperlink" Target="https://oecd.ai/en/incidents" TargetMode="External"/><Relationship Id="rId294" Type="http://schemas.openxmlformats.org/officeDocument/2006/relationships/hyperlink" Target="https://mitre-attack.github.io/attack-navigator/" TargetMode="External"/><Relationship Id="rId295" Type="http://schemas.openxmlformats.org/officeDocument/2006/relationships/hyperlink" Target="https://www.cisecurity.org/cis-benchmarks" TargetMode="External"/><Relationship Id="rId296" Type="http://schemas.openxmlformats.org/officeDocument/2006/relationships/hyperlink" Target="https://learn.cisecurity.org/cis-cat-lite" TargetMode="External"/><Relationship Id="rId297" Type="http://schemas.openxmlformats.org/officeDocument/2006/relationships/hyperlink" Target="https://cloudsecurityalliance.org/artifacts/star-level-1-security-questionnaire-caiq-v4/" TargetMode="External"/><Relationship Id="rId298" Type="http://schemas.openxmlformats.org/officeDocument/2006/relationships/hyperlink" Target="https://cloudsecurityalliance.org/star/registry" TargetMode="External"/><Relationship Id="rId299" Type="http://schemas.openxmlformats.org/officeDocument/2006/relationships/hyperlink" Target="https://iapp.org/resources" TargetMode="External"/><Relationship Id="rId300" Type="http://schemas.openxmlformats.org/officeDocument/2006/relationships/hyperlink" Target="https://www.cnil.fr/en/open-source-pia-software-helps-carry-out-data-protection-impact-assessment" TargetMode="External"/><Relationship Id="rId301" Type="http://schemas.openxmlformats.org/officeDocument/2006/relationships/hyperlink" Target="https://ico.org.uk/for-organisations/uk-gdpr-guidance-and-resources/accountability-and-governance/guide-to-accountability-and-governance/data-protection-impact-assessments/" TargetMode="External"/><Relationship Id="rId302" Type="http://schemas.openxmlformats.org/officeDocument/2006/relationships/hyperlink" Target="https://ico.org.uk/for-organisations/uk-gdpr-guidance-and-resources/artificial-intelligence/guidance-on-ai-and-data-protection/ai-and-data-protection-risk-toolkit/" TargetMode="External"/><Relationship Id="rId303" Type="http://schemas.openxmlformats.org/officeDocument/2006/relationships/hyperlink" Target="https://code.europa.eu/edpb/website-auditing-tool" TargetMode="External"/><Relationship Id="rId304" Type="http://schemas.openxmlformats.org/officeDocument/2006/relationships/hyperlink" Target="https://www.cisa.gov/known-exploited-vulnerabilities-catalog" TargetMode="External"/><Relationship Id="rId305" Type="http://schemas.openxmlformats.org/officeDocument/2006/relationships/hyperlink" Target="https://github.com/cisagov/cset" TargetMode="External"/><Relationship Id="rId306" Type="http://schemas.openxmlformats.org/officeDocument/2006/relationships/hyperlink" Target="https://haveibeenpwned.com/" TargetMode="External"/><Relationship Id="rId307" Type="http://schemas.openxmlformats.org/officeDocument/2006/relationships/hyperlink" Target="https://www.virustotal.com/" TargetMode="External"/><Relationship Id="rId308" Type="http://schemas.openxmlformats.org/officeDocument/2006/relationships/hyperlink" Target="https://www.zaproxy.org/" TargetMode="External"/><Relationship Id="rId309" Type="http://schemas.openxmlformats.org/officeDocument/2006/relationships/hyperlink" Target="https://www.shodan.io/" TargetMode="External"/><Relationship Id="rId310" Type="http://schemas.openxmlformats.org/officeDocument/2006/relationships/hyperlink" Target="https://github.com/microsoft/responsible-ai-toolbox" TargetMode="External"/><Relationship Id="rId311" Type="http://schemas.openxmlformats.org/officeDocument/2006/relationships/hyperlink" Target="https://aiverifyfoundation.sg/" TargetMode="External"/><Relationship Id="rId312" Type="http://schemas.openxmlformats.org/officeDocument/2006/relationships/hyperlink" Target="https://iapp.org/" TargetMode="External"/><Relationship Id="rId313" Type="http://schemas.openxmlformats.org/officeDocument/2006/relationships/hyperlink" Target="https://iapp.org/community/local-chapters" TargetMode="External"/><Relationship Id="rId314" Type="http://schemas.openxmlformats.org/officeDocument/2006/relationships/hyperlink" Target="https://www.isaca.org/" TargetMode="External"/><Relationship Id="rId315" Type="http://schemas.openxmlformats.org/officeDocument/2006/relationships/hyperlink" Target="https://www.isc2.org/" TargetMode="External"/><Relationship Id="rId316" Type="http://schemas.openxmlformats.org/officeDocument/2006/relationships/hyperlink" Target="https://www.wicys.org/" TargetMode="External"/><Relationship Id="rId317" Type="http://schemas.openxmlformats.org/officeDocument/2006/relationships/hyperlink" Target="https://owasp.org/" TargetMode="External"/><Relationship Id="rId318" Type="http://schemas.openxmlformats.org/officeDocument/2006/relationships/hyperlink" Target="https://fpf.org/" TargetMode="External"/><Relationship Id="rId319" Type="http://schemas.openxmlformats.org/officeDocument/2006/relationships/hyperlink" Target="https://www.eff.org/" TargetMode="External"/><Relationship Id="rId320" Type="http://schemas.openxmlformats.org/officeDocument/2006/relationships/hyperlink" Target="https://epic.org/" TargetMode="External"/><Relationship Id="rId321" Type="http://schemas.openxmlformats.org/officeDocument/2006/relationships/hyperlink" Target="https://cdt.org/" TargetMode="External"/><Relationship Id="rId322" Type="http://schemas.openxmlformats.org/officeDocument/2006/relationships/hyperlink" Target="https://www.americanbar.org/groups/science_technology/" TargetMode="External"/><Relationship Id="rId323" Type="http://schemas.openxmlformats.org/officeDocument/2006/relationships/hyperlink" Target="https://www.americanbar.org/groups/cybersecurity/" TargetMode="External"/><Relationship Id="rId324" Type="http://schemas.openxmlformats.org/officeDocument/2006/relationships/hyperlink" Target="https://cyber.harvard.edu/" TargetMode="External"/><Relationship Id="rId325" Type="http://schemas.openxmlformats.org/officeDocument/2006/relationships/hyperlink" Target="https://partnershiponai.org/" TargetMode="External"/><Relationship Id="rId326" Type="http://schemas.openxmlformats.org/officeDocument/2006/relationships/hyperlink" Target="https://womeninaiethics.org/" TargetMode="External"/><Relationship Id="rId327" Type="http://schemas.openxmlformats.org/officeDocument/2006/relationships/hyperlink" Target="https://www.blackgirlshack.org/" TargetMode="External"/><Relationship Id="rId328" Type="http://schemas.openxmlformats.org/officeDocument/2006/relationships/hyperlink" Target="https://www.wisporg.com/" TargetMode="External"/><Relationship Id="rId329" Type="http://schemas.openxmlformats.org/officeDocument/2006/relationships/hyperlink" Target="https://paradigmhq.org/" TargetMode="External"/><Relationship Id="rId330" Type="http://schemas.openxmlformats.org/officeDocument/2006/relationships/hyperlink" Target="https://cloudsecurityalliance.org/" TargetMode="External"/><Relationship Id="rId331" Type="http://schemas.openxmlformats.org/officeDocument/2006/relationships/hyperlink" Target="https://aceds.org/" TargetMode="External"/><Relationship Id="rId332" Type="http://schemas.openxmlformats.org/officeDocument/2006/relationships/hyperlink" Target="https://legalhackers.org/our-story/" TargetMode="External"/><Relationship Id="rId333" Type="http://schemas.openxmlformats.org/officeDocument/2006/relationships/hyperlink" Target="https://clearedjobs.net/" TargetMode="External"/><Relationship Id="rId334" Type="http://schemas.openxmlformats.org/officeDocument/2006/relationships/hyperlink" Target="https://www.crux.so/job-board" TargetMode="External"/><Relationship Id="rId335" Type="http://schemas.openxmlformats.org/officeDocument/2006/relationships/hyperlink" Target="https://cybersn.com/" TargetMode="External"/><Relationship Id="rId336" Type="http://schemas.openxmlformats.org/officeDocument/2006/relationships/hyperlink" Target="https://www.usebraintrust.com/job-boards/security" TargetMode="External"/><Relationship Id="rId337" Type="http://schemas.openxmlformats.org/officeDocument/2006/relationships/hyperlink" Target="https://jobs.hackthebox.com/" TargetMode="External"/><Relationship Id="rId338" Type="http://schemas.openxmlformats.org/officeDocument/2006/relationships/hyperlink" Target="https://www.wicys.org/initiatives/job-board/" TargetMode="External"/><Relationship Id="rId339" Type="http://schemas.openxmlformats.org/officeDocument/2006/relationships/hyperlink" Target="https://www.cyberseek.org/" TargetMode="External"/><Relationship Id="rId340" Type="http://schemas.openxmlformats.org/officeDocument/2006/relationships/hyperlink" Target="https://www.cybersecurityjobs.com/" TargetMode="External"/><Relationship Id="rId341" Type="http://schemas.openxmlformats.org/officeDocument/2006/relationships/hyperlink" Target="https://www.cybersecurityjobsite.com/" TargetMode="External"/><Relationship Id="rId342" Type="http://schemas.openxmlformats.org/officeDocument/2006/relationships/hyperlink" Target="https://www.careersincyber.com/" TargetMode="External"/><Relationship Id="rId343" Type="http://schemas.openxmlformats.org/officeDocument/2006/relationships/hyperlink" Target="https://globalcybersecuritynetwork.com/career-hub/job-platforms/" TargetMode="External"/><Relationship Id="rId344" Type="http://schemas.openxmlformats.org/officeDocument/2006/relationships/hyperlink" Target="https://www.dice.com/" TargetMode="External"/><Relationship Id="rId345" Type="http://schemas.openxmlformats.org/officeDocument/2006/relationships/hyperlink" Target="https://jobs.masscybercenter.org/jobs" TargetMode="External"/><Relationship Id="rId346" Type="http://schemas.openxmlformats.org/officeDocument/2006/relationships/hyperlink" Target="https://iapp.org/community/career-central" TargetMode="External"/><Relationship Id="rId347" Type="http://schemas.openxmlformats.org/officeDocument/2006/relationships/hyperlink" Target="https://www.isaca.org/career-center" TargetMode="External"/><Relationship Id="rId348" Type="http://schemas.openxmlformats.org/officeDocument/2006/relationships/hyperlink" Target="https://www.usajobs.gov/" TargetMode="External"/><Relationship Id="rId349" Type="http://schemas.openxmlformats.org/officeDocument/2006/relationships/hyperlink" Target="https://dhscs.usajobs.gov/" TargetMode="External"/><Relationship Id="rId350" Type="http://schemas.openxmlformats.org/officeDocument/2006/relationships/hyperlink" Target="https://www.clearancejobs.com/" TargetMode="External"/><Relationship Id="rId351" Type="http://schemas.openxmlformats.org/officeDocument/2006/relationships/hyperlink" Target="https://www.legal.io/jobs" TargetMode="External"/><Relationship Id="rId352" Type="http://schemas.openxmlformats.org/officeDocument/2006/relationships/hyperlink" Target="https://www.iapp.org/resources/article/salary-survey-summary" TargetMode="External"/><Relationship Id="rId353" Type="http://schemas.openxmlformats.org/officeDocument/2006/relationships/hyperlink" Target="https://cybersn.com/resources/reports/cybersecurity-jobs-report" TargetMode="External"/><Relationship Id="rId35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COUNTA(Resources!A:A)-1</f>
        <v>353</v>
      </c>
    </row>
    <row r="6" customFormat="false" ht="15" hidden="false" customHeight="false" outlineLevel="0" collapsed="false">
      <c r="A6" s="4" t="s">
        <v>4</v>
      </c>
      <c r="B6" s="5" t="n">
        <f aca="false">COUNTA(Sections!A:A)-1</f>
        <v>13</v>
      </c>
    </row>
    <row r="7" customFormat="false" ht="15" hidden="false" customHeight="false" outlineLevel="0" collapsed="false">
      <c r="A7" s="4" t="s">
        <v>5</v>
      </c>
      <c r="B7" s="5" t="n">
        <f aca="false">COUNTIF(Resources!S:S,"Verified")+COUNTIF(Resources!S:S,"Found in search")</f>
        <v>351</v>
      </c>
    </row>
    <row r="8" customFormat="false" ht="15" hidden="false" customHeight="false" outlineLevel="0" collapsed="false">
      <c r="A8" s="4" t="s">
        <v>6</v>
      </c>
      <c r="B8" s="5" t="n">
        <f aca="false">COUNTIF(Resources!S:S,"Needs check")</f>
        <v>2</v>
      </c>
    </row>
    <row r="9" customFormat="false" ht="15" hidden="false" customHeight="false" outlineLevel="0" collapsed="false">
      <c r="A9" s="4" t="s">
        <v>7</v>
      </c>
      <c r="B9" s="5" t="n">
        <f aca="false">COUNTIF(Resources!R:R,"Notion import")</f>
        <v>42</v>
      </c>
    </row>
    <row r="10" customFormat="false" ht="15" hidden="false" customHeight="false" outlineLevel="0" collapsed="false">
      <c r="A10" s="4" t="s">
        <v>8</v>
      </c>
      <c r="B10" s="5" t="n">
        <f aca="false">COUNTA(Removed!A:A)-1</f>
        <v>51</v>
      </c>
    </row>
    <row r="12" customFormat="false" ht="15" hidden="false" customHeight="false" outlineLevel="0" collapsed="false">
      <c r="A12" s="3" t="s">
        <v>9</v>
      </c>
    </row>
    <row r="13" customFormat="false" ht="15" hidden="false" customHeight="false" outlineLevel="0" collapsed="false">
      <c r="A13" s="6" t="s">
        <v>10</v>
      </c>
      <c r="B13" s="7" t="s">
        <v>11</v>
      </c>
    </row>
    <row r="14" customFormat="false" ht="23.85" hidden="false" customHeight="false" outlineLevel="0" collapsed="false">
      <c r="A14" s="6" t="s">
        <v>12</v>
      </c>
      <c r="B14" s="7" t="s">
        <v>13</v>
      </c>
    </row>
    <row r="15" customFormat="false" ht="15" hidden="false" customHeight="false" outlineLevel="0" collapsed="false">
      <c r="A15" s="6" t="s">
        <v>14</v>
      </c>
      <c r="B15" s="7" t="s">
        <v>15</v>
      </c>
    </row>
    <row r="16" customFormat="false" ht="15" hidden="false" customHeight="false" outlineLevel="0" collapsed="false">
      <c r="A16" s="6" t="s">
        <v>16</v>
      </c>
      <c r="B16" s="7" t="s">
        <v>17</v>
      </c>
    </row>
    <row r="17" customFormat="false" ht="23.85" hidden="false" customHeight="false" outlineLevel="0" collapsed="false">
      <c r="A17" s="6" t="s">
        <v>18</v>
      </c>
      <c r="B17" s="7" t="s">
        <v>19</v>
      </c>
    </row>
    <row r="18" customFormat="false" ht="15" hidden="false" customHeight="false" outlineLevel="0" collapsed="false">
      <c r="A18" s="6" t="s">
        <v>20</v>
      </c>
      <c r="B18" s="7" t="s">
        <v>21</v>
      </c>
    </row>
    <row r="19" customFormat="false" ht="15" hidden="false" customHeight="false" outlineLevel="0" collapsed="false">
      <c r="A19" s="6" t="s">
        <v>22</v>
      </c>
      <c r="B19" s="7" t="s">
        <v>23</v>
      </c>
    </row>
    <row r="20" customFormat="false" ht="15" hidden="false" customHeight="false" outlineLevel="0" collapsed="false">
      <c r="A20" s="6" t="s">
        <v>24</v>
      </c>
      <c r="B20" s="7" t="s">
        <v>25</v>
      </c>
    </row>
    <row r="22" customFormat="false" ht="15" hidden="false" customHeight="false" outlineLevel="0" collapsed="false">
      <c r="A22" s="3" t="s">
        <v>26</v>
      </c>
    </row>
    <row r="23" customFormat="false" ht="15" hidden="false" customHeight="false" outlineLevel="0" collapsed="false">
      <c r="A23" s="6" t="s">
        <v>27</v>
      </c>
      <c r="B23" s="7" t="s">
        <v>28</v>
      </c>
    </row>
    <row r="24" customFormat="false" ht="15" hidden="false" customHeight="false" outlineLevel="0" collapsed="false">
      <c r="A24" s="6" t="s">
        <v>29</v>
      </c>
      <c r="B24" s="7" t="s">
        <v>30</v>
      </c>
    </row>
    <row r="25" customFormat="false" ht="23.85" hidden="false" customHeight="false" outlineLevel="0" collapsed="false">
      <c r="A25" s="6" t="s">
        <v>31</v>
      </c>
      <c r="B25" s="7" t="s">
        <v>32</v>
      </c>
    </row>
    <row r="26" customFormat="false" ht="15" hidden="false" customHeight="false" outlineLevel="0" collapsed="false">
      <c r="A26" s="6" t="s">
        <v>33</v>
      </c>
      <c r="B26" s="7" t="s">
        <v>34</v>
      </c>
    </row>
    <row r="27" customFormat="false" ht="15" hidden="false" customHeight="false" outlineLevel="0" collapsed="false">
      <c r="A27" s="6" t="s">
        <v>35</v>
      </c>
      <c r="B27" s="7" t="s">
        <v>36</v>
      </c>
    </row>
    <row r="28" customFormat="false" ht="15" hidden="false" customHeight="false" outlineLevel="0" collapsed="false">
      <c r="A28" s="6" t="s">
        <v>37</v>
      </c>
      <c r="B28" s="7" t="s">
        <v>38</v>
      </c>
    </row>
    <row r="29" customFormat="false" ht="15" hidden="false" customHeight="false" outlineLevel="0" collapsed="false">
      <c r="A29" s="6" t="s">
        <v>39</v>
      </c>
      <c r="B29" s="7" t="s">
        <v>40</v>
      </c>
    </row>
    <row r="30" customFormat="false" ht="15" hidden="false" customHeight="false" outlineLevel="0" collapsed="false">
      <c r="A30" s="6" t="s">
        <v>41</v>
      </c>
      <c r="B30" s="7" t="s">
        <v>42</v>
      </c>
    </row>
    <row r="31" customFormat="false" ht="15" hidden="false" customHeight="false" outlineLevel="0" collapsed="false">
      <c r="A31" s="6" t="s">
        <v>43</v>
      </c>
      <c r="B31" s="7" t="s">
        <v>44</v>
      </c>
    </row>
    <row r="32" customFormat="false" ht="15" hidden="false" customHeight="false" outlineLevel="0" collapsed="false">
      <c r="A32" s="6" t="s">
        <v>45</v>
      </c>
      <c r="B32" s="7" t="s">
        <v>46</v>
      </c>
    </row>
    <row r="33" customFormat="false" ht="15" hidden="false" customHeight="false" outlineLevel="0" collapsed="false">
      <c r="A33" s="6" t="s">
        <v>47</v>
      </c>
      <c r="B33" s="7" t="s">
        <v>48</v>
      </c>
    </row>
    <row r="34" customFormat="false" ht="15" hidden="false" customHeight="false" outlineLevel="0" collapsed="false">
      <c r="A34" s="6" t="s">
        <v>49</v>
      </c>
      <c r="B34" s="7" t="s">
        <v>50</v>
      </c>
    </row>
    <row r="35" customFormat="false" ht="15" hidden="false" customHeight="false" outlineLevel="0" collapsed="false">
      <c r="A35" s="6" t="s">
        <v>51</v>
      </c>
      <c r="B35" s="7" t="s">
        <v>52</v>
      </c>
    </row>
    <row r="36" customFormat="false" ht="15" hidden="false" customHeight="false" outlineLevel="0" collapsed="false">
      <c r="A36" s="6" t="s">
        <v>53</v>
      </c>
      <c r="B36" s="7" t="s">
        <v>54</v>
      </c>
    </row>
    <row r="37" customFormat="false" ht="15" hidden="false" customHeight="false" outlineLevel="0" collapsed="false">
      <c r="A37" s="6" t="s">
        <v>55</v>
      </c>
      <c r="B37" s="7" t="s">
        <v>56</v>
      </c>
    </row>
    <row r="38" customFormat="false" ht="15" hidden="false" customHeight="false" outlineLevel="0" collapsed="false">
      <c r="A38" s="6" t="s">
        <v>57</v>
      </c>
      <c r="B38" s="7" t="s">
        <v>58</v>
      </c>
    </row>
    <row r="39" customFormat="false" ht="15" hidden="false" customHeight="false" outlineLevel="0" collapsed="false">
      <c r="A39" s="6" t="s">
        <v>59</v>
      </c>
      <c r="B39" s="7" t="s">
        <v>60</v>
      </c>
    </row>
    <row r="40" customFormat="false" ht="15" hidden="false" customHeight="false" outlineLevel="0" collapsed="false">
      <c r="A40" s="6" t="s">
        <v>61</v>
      </c>
      <c r="B40" s="7" t="s">
        <v>62</v>
      </c>
    </row>
    <row r="41" customFormat="false" ht="15" hidden="false" customHeight="false" outlineLevel="0" collapsed="false">
      <c r="A41" s="6" t="s">
        <v>63</v>
      </c>
      <c r="B41" s="7" t="s">
        <v>64</v>
      </c>
    </row>
    <row r="43" customFormat="false" ht="15" hidden="false" customHeight="false" outlineLevel="0" collapsed="false">
      <c r="A43" s="3" t="s">
        <v>65</v>
      </c>
    </row>
    <row r="44" customFormat="false" ht="23.85" hidden="false" customHeight="false" outlineLevel="0" collapsed="false">
      <c r="A44" s="6" t="s">
        <v>66</v>
      </c>
      <c r="B44" s="7" t="s">
        <v>67</v>
      </c>
    </row>
    <row r="45" customFormat="false" ht="23.85" hidden="false" customHeight="false" outlineLevel="0" collapsed="false">
      <c r="A45" s="6" t="s">
        <v>4</v>
      </c>
      <c r="B45" s="7" t="s">
        <v>68</v>
      </c>
    </row>
    <row r="46" customFormat="false" ht="15" hidden="false" customHeight="false" outlineLevel="0" collapsed="false">
      <c r="A46" s="6" t="s">
        <v>69</v>
      </c>
      <c r="B46" s="7" t="s">
        <v>70</v>
      </c>
    </row>
    <row r="47" customFormat="false" ht="15" hidden="false" customHeight="false" outlineLevel="0" collapsed="false">
      <c r="A47" s="6" t="s">
        <v>71</v>
      </c>
      <c r="B47" s="7"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24"/>
    <col collapsed="false" customWidth="true" hidden="false" outlineLevel="0" max="4" min="4" style="0" width="13"/>
    <col collapsed="false" customWidth="true" hidden="false" outlineLevel="0" max="5" min="5" style="0" width="16"/>
    <col collapsed="false" customWidth="true" hidden="false" outlineLevel="0" max="6" min="6" style="0" width="24"/>
    <col collapsed="false" customWidth="true" hidden="false" outlineLevel="0" max="7" min="7" style="0" width="60"/>
    <col collapsed="false" customWidth="true" hidden="false" outlineLevel="0" max="8" min="8" style="0" width="42"/>
    <col collapsed="false" customWidth="true" hidden="false" outlineLevel="0" max="9" min="9" style="0" width="28"/>
    <col collapsed="false" customWidth="true" hidden="false" outlineLevel="0" max="11" min="10" style="0" width="13"/>
    <col collapsed="false" customWidth="true" hidden="false" outlineLevel="0" max="12" min="12" style="0" width="24"/>
    <col collapsed="false" customWidth="true" hidden="false" outlineLevel="0" max="13" min="13" style="0" width="15"/>
    <col collapsed="false" customWidth="true" hidden="false" outlineLevel="0" max="15" min="14" style="0" width="12"/>
    <col collapsed="false" customWidth="true" hidden="false" outlineLevel="0" max="16" min="16" style="0" width="22"/>
    <col collapsed="false" customWidth="true" hidden="false" outlineLevel="0" max="17" min="17" style="0" width="20"/>
    <col collapsed="false" customWidth="true" hidden="false" outlineLevel="0" max="18" min="18" style="0" width="14"/>
    <col collapsed="false" customWidth="true" hidden="false" outlineLevel="0" max="19" min="19" style="0" width="15"/>
    <col collapsed="false" customWidth="true" hidden="false" outlineLevel="0" max="20" min="20" style="0" width="13"/>
    <col collapsed="false" customWidth="true" hidden="false" outlineLevel="0" max="21" min="21" style="0" width="60"/>
  </cols>
  <sheetData>
    <row r="1" customFormat="false" ht="30" hidden="false" customHeight="true" outlineLevel="0" collapsed="false">
      <c r="A1" s="8" t="s">
        <v>27</v>
      </c>
      <c r="B1" s="8" t="s">
        <v>29</v>
      </c>
      <c r="C1" s="8" t="s">
        <v>73</v>
      </c>
      <c r="D1" s="8" t="s">
        <v>74</v>
      </c>
      <c r="E1" s="8" t="s">
        <v>33</v>
      </c>
      <c r="F1" s="8" t="s">
        <v>35</v>
      </c>
      <c r="G1" s="8" t="s">
        <v>37</v>
      </c>
      <c r="H1" s="8" t="s">
        <v>39</v>
      </c>
      <c r="I1" s="8" t="s">
        <v>41</v>
      </c>
      <c r="J1" s="8" t="s">
        <v>43</v>
      </c>
      <c r="K1" s="8" t="s">
        <v>45</v>
      </c>
      <c r="L1" s="8" t="s">
        <v>47</v>
      </c>
      <c r="M1" s="8" t="s">
        <v>49</v>
      </c>
      <c r="N1" s="8" t="s">
        <v>75</v>
      </c>
      <c r="O1" s="8" t="s">
        <v>76</v>
      </c>
      <c r="P1" s="8" t="s">
        <v>53</v>
      </c>
      <c r="Q1" s="8" t="s">
        <v>55</v>
      </c>
      <c r="R1" s="8" t="s">
        <v>57</v>
      </c>
      <c r="S1" s="8" t="s">
        <v>59</v>
      </c>
      <c r="T1" s="8" t="s">
        <v>61</v>
      </c>
      <c r="U1" s="8" t="s">
        <v>63</v>
      </c>
    </row>
    <row r="2" customFormat="false" ht="35.05" hidden="false" customHeight="false" outlineLevel="0" collapsed="false">
      <c r="A2" s="9" t="s">
        <v>77</v>
      </c>
      <c r="B2" s="10" t="s">
        <v>78</v>
      </c>
      <c r="C2" s="9" t="s">
        <v>79</v>
      </c>
      <c r="D2" s="9" t="s">
        <v>80</v>
      </c>
      <c r="E2" s="9" t="s">
        <v>81</v>
      </c>
      <c r="F2" s="9" t="s">
        <v>82</v>
      </c>
      <c r="G2" s="10" t="s">
        <v>83</v>
      </c>
      <c r="H2" s="11" t="s">
        <v>84</v>
      </c>
      <c r="I2" s="10" t="s">
        <v>85</v>
      </c>
      <c r="J2" s="9" t="s">
        <v>86</v>
      </c>
      <c r="K2" s="9"/>
      <c r="L2" s="10" t="s">
        <v>87</v>
      </c>
      <c r="M2" s="9" t="s">
        <v>88</v>
      </c>
      <c r="N2" s="12" t="n">
        <v>43245</v>
      </c>
      <c r="O2" s="9"/>
      <c r="P2" s="9"/>
      <c r="Q2" s="9" t="s">
        <v>89</v>
      </c>
      <c r="R2" s="9" t="s">
        <v>90</v>
      </c>
      <c r="S2" s="9" t="s">
        <v>91</v>
      </c>
      <c r="T2" s="12" t="n">
        <v>46324</v>
      </c>
      <c r="U2" s="10" t="s">
        <v>92</v>
      </c>
    </row>
    <row r="3" customFormat="false" ht="46.25" hidden="false" customHeight="false" outlineLevel="0" collapsed="false">
      <c r="A3" s="9" t="s">
        <v>93</v>
      </c>
      <c r="B3" s="10" t="s">
        <v>94</v>
      </c>
      <c r="C3" s="9" t="s">
        <v>79</v>
      </c>
      <c r="D3" s="9" t="s">
        <v>80</v>
      </c>
      <c r="E3" s="9" t="s">
        <v>81</v>
      </c>
      <c r="F3" s="9" t="s">
        <v>95</v>
      </c>
      <c r="G3" s="10" t="s">
        <v>96</v>
      </c>
      <c r="H3" s="11" t="s">
        <v>97</v>
      </c>
      <c r="I3" s="10" t="s">
        <v>85</v>
      </c>
      <c r="J3" s="9" t="s">
        <v>86</v>
      </c>
      <c r="K3" s="9"/>
      <c r="L3" s="10" t="s">
        <v>87</v>
      </c>
      <c r="M3" s="9" t="s">
        <v>88</v>
      </c>
      <c r="N3" s="9"/>
      <c r="O3" s="9"/>
      <c r="P3" s="9"/>
      <c r="Q3" s="9" t="s">
        <v>98</v>
      </c>
      <c r="R3" s="9" t="s">
        <v>90</v>
      </c>
      <c r="S3" s="9" t="s">
        <v>91</v>
      </c>
      <c r="T3" s="12" t="n">
        <v>46324</v>
      </c>
      <c r="U3" s="10" t="s">
        <v>99</v>
      </c>
    </row>
    <row r="4" customFormat="false" ht="46.25" hidden="false" customHeight="false" outlineLevel="0" collapsed="false">
      <c r="A4" s="9" t="s">
        <v>100</v>
      </c>
      <c r="B4" s="10" t="s">
        <v>101</v>
      </c>
      <c r="C4" s="9" t="s">
        <v>79</v>
      </c>
      <c r="D4" s="9" t="s">
        <v>80</v>
      </c>
      <c r="E4" s="9" t="s">
        <v>102</v>
      </c>
      <c r="F4" s="9" t="s">
        <v>103</v>
      </c>
      <c r="G4" s="10" t="s">
        <v>104</v>
      </c>
      <c r="H4" s="11" t="s">
        <v>105</v>
      </c>
      <c r="I4" s="10" t="s">
        <v>85</v>
      </c>
      <c r="J4" s="9" t="s">
        <v>86</v>
      </c>
      <c r="K4" s="9"/>
      <c r="L4" s="10" t="s">
        <v>87</v>
      </c>
      <c r="M4" s="9" t="s">
        <v>88</v>
      </c>
      <c r="N4" s="12" t="n">
        <v>45583</v>
      </c>
      <c r="O4" s="9"/>
      <c r="P4" s="9"/>
      <c r="Q4" s="9" t="s">
        <v>89</v>
      </c>
      <c r="R4" s="9" t="s">
        <v>90</v>
      </c>
      <c r="S4" s="9" t="s">
        <v>91</v>
      </c>
      <c r="T4" s="12" t="n">
        <v>46324</v>
      </c>
      <c r="U4" s="10" t="s">
        <v>106</v>
      </c>
    </row>
    <row r="5" customFormat="false" ht="35.05" hidden="false" customHeight="false" outlineLevel="0" collapsed="false">
      <c r="A5" s="9" t="s">
        <v>107</v>
      </c>
      <c r="B5" s="10" t="s">
        <v>108</v>
      </c>
      <c r="C5" s="9" t="s">
        <v>79</v>
      </c>
      <c r="D5" s="9" t="s">
        <v>80</v>
      </c>
      <c r="E5" s="9" t="s">
        <v>81</v>
      </c>
      <c r="F5" s="9" t="s">
        <v>103</v>
      </c>
      <c r="G5" s="10" t="s">
        <v>109</v>
      </c>
      <c r="H5" s="11" t="s">
        <v>110</v>
      </c>
      <c r="I5" s="10" t="s">
        <v>85</v>
      </c>
      <c r="J5" s="9" t="s">
        <v>86</v>
      </c>
      <c r="K5" s="9"/>
      <c r="L5" s="10" t="s">
        <v>87</v>
      </c>
      <c r="M5" s="9" t="s">
        <v>88</v>
      </c>
      <c r="N5" s="12" t="n">
        <v>45674</v>
      </c>
      <c r="O5" s="9"/>
      <c r="P5" s="9"/>
      <c r="Q5" s="9" t="s">
        <v>89</v>
      </c>
      <c r="R5" s="9" t="s">
        <v>90</v>
      </c>
      <c r="S5" s="9" t="s">
        <v>91</v>
      </c>
      <c r="T5" s="12" t="n">
        <v>46324</v>
      </c>
      <c r="U5" s="10" t="s">
        <v>111</v>
      </c>
    </row>
    <row r="6" customFormat="false" ht="35.05" hidden="false" customHeight="false" outlineLevel="0" collapsed="false">
      <c r="A6" s="9" t="s">
        <v>112</v>
      </c>
      <c r="B6" s="10" t="s">
        <v>113</v>
      </c>
      <c r="C6" s="9" t="s">
        <v>79</v>
      </c>
      <c r="D6" s="9" t="s">
        <v>80</v>
      </c>
      <c r="E6" s="9" t="s">
        <v>81</v>
      </c>
      <c r="F6" s="9" t="s">
        <v>103</v>
      </c>
      <c r="G6" s="10" t="s">
        <v>114</v>
      </c>
      <c r="H6" s="11" t="s">
        <v>115</v>
      </c>
      <c r="I6" s="10" t="s">
        <v>85</v>
      </c>
      <c r="J6" s="9" t="s">
        <v>86</v>
      </c>
      <c r="K6" s="9"/>
      <c r="L6" s="10" t="s">
        <v>87</v>
      </c>
      <c r="M6" s="9" t="s">
        <v>88</v>
      </c>
      <c r="N6" s="9"/>
      <c r="O6" s="9"/>
      <c r="P6" s="9"/>
      <c r="Q6" s="9" t="s">
        <v>98</v>
      </c>
      <c r="R6" s="9" t="s">
        <v>90</v>
      </c>
      <c r="S6" s="9" t="s">
        <v>91</v>
      </c>
      <c r="T6" s="12" t="n">
        <v>46324</v>
      </c>
      <c r="U6" s="10" t="s">
        <v>116</v>
      </c>
    </row>
    <row r="7" customFormat="false" ht="35.05" hidden="false" customHeight="false" outlineLevel="0" collapsed="false">
      <c r="A7" s="9" t="s">
        <v>117</v>
      </c>
      <c r="B7" s="10" t="s">
        <v>118</v>
      </c>
      <c r="C7" s="9" t="s">
        <v>79</v>
      </c>
      <c r="D7" s="9" t="s">
        <v>80</v>
      </c>
      <c r="E7" s="9" t="s">
        <v>81</v>
      </c>
      <c r="F7" s="9" t="s">
        <v>119</v>
      </c>
      <c r="G7" s="10" t="s">
        <v>120</v>
      </c>
      <c r="H7" s="11" t="s">
        <v>121</v>
      </c>
      <c r="I7" s="10" t="s">
        <v>85</v>
      </c>
      <c r="J7" s="9" t="s">
        <v>86</v>
      </c>
      <c r="K7" s="9"/>
      <c r="L7" s="10" t="s">
        <v>87</v>
      </c>
      <c r="M7" s="9" t="s">
        <v>88</v>
      </c>
      <c r="N7" s="12" t="n">
        <v>45912</v>
      </c>
      <c r="O7" s="9"/>
      <c r="P7" s="9"/>
      <c r="Q7" s="9" t="s">
        <v>89</v>
      </c>
      <c r="R7" s="9" t="s">
        <v>90</v>
      </c>
      <c r="S7" s="9" t="s">
        <v>91</v>
      </c>
      <c r="T7" s="12" t="n">
        <v>46324</v>
      </c>
      <c r="U7" s="10" t="s">
        <v>122</v>
      </c>
    </row>
    <row r="8" customFormat="false" ht="35.05" hidden="false" customHeight="false" outlineLevel="0" collapsed="false">
      <c r="A8" s="9" t="s">
        <v>123</v>
      </c>
      <c r="B8" s="10" t="s">
        <v>124</v>
      </c>
      <c r="C8" s="9" t="s">
        <v>79</v>
      </c>
      <c r="D8" s="9" t="s">
        <v>80</v>
      </c>
      <c r="E8" s="9" t="s">
        <v>102</v>
      </c>
      <c r="F8" s="9" t="s">
        <v>82</v>
      </c>
      <c r="G8" s="10" t="s">
        <v>125</v>
      </c>
      <c r="H8" s="11" t="s">
        <v>126</v>
      </c>
      <c r="I8" s="10" t="s">
        <v>85</v>
      </c>
      <c r="J8" s="9" t="s">
        <v>86</v>
      </c>
      <c r="K8" s="9"/>
      <c r="L8" s="10" t="s">
        <v>87</v>
      </c>
      <c r="M8" s="9" t="s">
        <v>88</v>
      </c>
      <c r="N8" s="9"/>
      <c r="O8" s="9"/>
      <c r="P8" s="9"/>
      <c r="Q8" s="9" t="s">
        <v>89</v>
      </c>
      <c r="R8" s="9" t="s">
        <v>90</v>
      </c>
      <c r="S8" s="9" t="s">
        <v>91</v>
      </c>
      <c r="T8" s="12" t="n">
        <v>46324</v>
      </c>
      <c r="U8" s="10" t="s">
        <v>127</v>
      </c>
    </row>
    <row r="9" customFormat="false" ht="35.05" hidden="false" customHeight="false" outlineLevel="0" collapsed="false">
      <c r="A9" s="9" t="s">
        <v>128</v>
      </c>
      <c r="B9" s="10" t="s">
        <v>129</v>
      </c>
      <c r="C9" s="9" t="s">
        <v>79</v>
      </c>
      <c r="D9" s="9" t="s">
        <v>80</v>
      </c>
      <c r="E9" s="9" t="s">
        <v>130</v>
      </c>
      <c r="F9" s="9" t="s">
        <v>82</v>
      </c>
      <c r="G9" s="10" t="s">
        <v>131</v>
      </c>
      <c r="H9" s="11" t="s">
        <v>132</v>
      </c>
      <c r="I9" s="10" t="s">
        <v>133</v>
      </c>
      <c r="J9" s="9" t="s">
        <v>134</v>
      </c>
      <c r="K9" s="9"/>
      <c r="L9" s="10" t="s">
        <v>87</v>
      </c>
      <c r="M9" s="9" t="s">
        <v>88</v>
      </c>
      <c r="N9" s="12" t="n">
        <v>43245</v>
      </c>
      <c r="O9" s="9"/>
      <c r="P9" s="9"/>
      <c r="Q9" s="9" t="s">
        <v>89</v>
      </c>
      <c r="R9" s="9" t="s">
        <v>90</v>
      </c>
      <c r="S9" s="9" t="s">
        <v>91</v>
      </c>
      <c r="T9" s="12" t="n">
        <v>46324</v>
      </c>
      <c r="U9" s="10" t="s">
        <v>135</v>
      </c>
    </row>
    <row r="10" customFormat="false" ht="46.25" hidden="false" customHeight="false" outlineLevel="0" collapsed="false">
      <c r="A10" s="9" t="s">
        <v>136</v>
      </c>
      <c r="B10" s="10" t="s">
        <v>137</v>
      </c>
      <c r="C10" s="9" t="s">
        <v>79</v>
      </c>
      <c r="D10" s="9" t="s">
        <v>80</v>
      </c>
      <c r="E10" s="9" t="s">
        <v>130</v>
      </c>
      <c r="F10" s="9" t="s">
        <v>138</v>
      </c>
      <c r="G10" s="10" t="s">
        <v>139</v>
      </c>
      <c r="H10" s="11" t="s">
        <v>140</v>
      </c>
      <c r="I10" s="10" t="s">
        <v>133</v>
      </c>
      <c r="J10" s="9" t="s">
        <v>134</v>
      </c>
      <c r="K10" s="9"/>
      <c r="L10" s="10" t="s">
        <v>87</v>
      </c>
      <c r="M10" s="9" t="s">
        <v>88</v>
      </c>
      <c r="N10" s="9"/>
      <c r="O10" s="9"/>
      <c r="P10" s="9"/>
      <c r="Q10" s="9" t="s">
        <v>98</v>
      </c>
      <c r="R10" s="9" t="s">
        <v>90</v>
      </c>
      <c r="S10" s="9" t="s">
        <v>91</v>
      </c>
      <c r="T10" s="12" t="n">
        <v>46324</v>
      </c>
      <c r="U10" s="10" t="s">
        <v>141</v>
      </c>
    </row>
    <row r="11" customFormat="false" ht="35.05" hidden="false" customHeight="false" outlineLevel="0" collapsed="false">
      <c r="A11" s="9" t="s">
        <v>142</v>
      </c>
      <c r="B11" s="10" t="s">
        <v>143</v>
      </c>
      <c r="C11" s="9" t="s">
        <v>79</v>
      </c>
      <c r="D11" s="9" t="s">
        <v>80</v>
      </c>
      <c r="E11" s="9" t="s">
        <v>81</v>
      </c>
      <c r="F11" s="9" t="s">
        <v>144</v>
      </c>
      <c r="G11" s="10" t="s">
        <v>145</v>
      </c>
      <c r="H11" s="11" t="s">
        <v>146</v>
      </c>
      <c r="I11" s="10" t="s">
        <v>147</v>
      </c>
      <c r="J11" s="9" t="s">
        <v>148</v>
      </c>
      <c r="K11" s="9"/>
      <c r="L11" s="10" t="s">
        <v>87</v>
      </c>
      <c r="M11" s="9" t="s">
        <v>88</v>
      </c>
      <c r="N11" s="9"/>
      <c r="O11" s="9"/>
      <c r="P11" s="9"/>
      <c r="Q11" s="9" t="s">
        <v>89</v>
      </c>
      <c r="R11" s="9" t="s">
        <v>90</v>
      </c>
      <c r="S11" s="9" t="s">
        <v>91</v>
      </c>
      <c r="T11" s="12" t="n">
        <v>46324</v>
      </c>
      <c r="U11" s="10" t="s">
        <v>149</v>
      </c>
    </row>
    <row r="12" customFormat="false" ht="35.05" hidden="false" customHeight="false" outlineLevel="0" collapsed="false">
      <c r="A12" s="9" t="s">
        <v>150</v>
      </c>
      <c r="B12" s="10" t="s">
        <v>151</v>
      </c>
      <c r="C12" s="9" t="s">
        <v>79</v>
      </c>
      <c r="D12" s="9" t="s">
        <v>80</v>
      </c>
      <c r="E12" s="9" t="s">
        <v>81</v>
      </c>
      <c r="F12" s="9" t="s">
        <v>152</v>
      </c>
      <c r="G12" s="10" t="s">
        <v>153</v>
      </c>
      <c r="H12" s="11" t="s">
        <v>154</v>
      </c>
      <c r="I12" s="10" t="s">
        <v>155</v>
      </c>
      <c r="J12" s="9" t="s">
        <v>148</v>
      </c>
      <c r="K12" s="9"/>
      <c r="L12" s="10" t="s">
        <v>87</v>
      </c>
      <c r="M12" s="9" t="s">
        <v>88</v>
      </c>
      <c r="N12" s="9"/>
      <c r="O12" s="9"/>
      <c r="P12" s="9"/>
      <c r="Q12" s="9" t="s">
        <v>89</v>
      </c>
      <c r="R12" s="9" t="s">
        <v>90</v>
      </c>
      <c r="S12" s="9" t="s">
        <v>91</v>
      </c>
      <c r="T12" s="12" t="n">
        <v>46324</v>
      </c>
      <c r="U12" s="10" t="s">
        <v>156</v>
      </c>
    </row>
    <row r="13" customFormat="false" ht="46.25" hidden="false" customHeight="false" outlineLevel="0" collapsed="false">
      <c r="A13" s="9" t="s">
        <v>157</v>
      </c>
      <c r="B13" s="10" t="s">
        <v>158</v>
      </c>
      <c r="C13" s="9" t="s">
        <v>79</v>
      </c>
      <c r="D13" s="9" t="s">
        <v>80</v>
      </c>
      <c r="E13" s="9" t="s">
        <v>81</v>
      </c>
      <c r="F13" s="9" t="s">
        <v>82</v>
      </c>
      <c r="G13" s="10" t="s">
        <v>159</v>
      </c>
      <c r="H13" s="11" t="s">
        <v>160</v>
      </c>
      <c r="I13" s="10" t="s">
        <v>155</v>
      </c>
      <c r="J13" s="9" t="s">
        <v>148</v>
      </c>
      <c r="K13" s="9"/>
      <c r="L13" s="10" t="s">
        <v>87</v>
      </c>
      <c r="M13" s="9" t="s">
        <v>88</v>
      </c>
      <c r="N13" s="9"/>
      <c r="O13" s="9"/>
      <c r="P13" s="9"/>
      <c r="Q13" s="9" t="s">
        <v>89</v>
      </c>
      <c r="R13" s="9" t="s">
        <v>90</v>
      </c>
      <c r="S13" s="9" t="s">
        <v>91</v>
      </c>
      <c r="T13" s="12" t="n">
        <v>46324</v>
      </c>
      <c r="U13" s="10" t="s">
        <v>161</v>
      </c>
    </row>
    <row r="14" customFormat="false" ht="35.05" hidden="false" customHeight="false" outlineLevel="0" collapsed="false">
      <c r="A14" s="9" t="s">
        <v>162</v>
      </c>
      <c r="B14" s="10" t="s">
        <v>163</v>
      </c>
      <c r="C14" s="9" t="s">
        <v>79</v>
      </c>
      <c r="D14" s="9" t="s">
        <v>80</v>
      </c>
      <c r="E14" s="9" t="s">
        <v>81</v>
      </c>
      <c r="F14" s="9" t="s">
        <v>82</v>
      </c>
      <c r="G14" s="10" t="s">
        <v>164</v>
      </c>
      <c r="H14" s="11" t="s">
        <v>165</v>
      </c>
      <c r="I14" s="10" t="s">
        <v>166</v>
      </c>
      <c r="J14" s="9" t="s">
        <v>148</v>
      </c>
      <c r="K14" s="9"/>
      <c r="L14" s="10" t="s">
        <v>87</v>
      </c>
      <c r="M14" s="9" t="s">
        <v>88</v>
      </c>
      <c r="N14" s="9"/>
      <c r="O14" s="9"/>
      <c r="P14" s="9"/>
      <c r="Q14" s="9" t="s">
        <v>89</v>
      </c>
      <c r="R14" s="9" t="s">
        <v>90</v>
      </c>
      <c r="S14" s="9" t="s">
        <v>167</v>
      </c>
      <c r="T14" s="12" t="n">
        <v>46324</v>
      </c>
      <c r="U14" s="10" t="s">
        <v>168</v>
      </c>
    </row>
    <row r="15" customFormat="false" ht="46.25" hidden="false" customHeight="false" outlineLevel="0" collapsed="false">
      <c r="A15" s="9" t="s">
        <v>169</v>
      </c>
      <c r="B15" s="10" t="s">
        <v>170</v>
      </c>
      <c r="C15" s="9" t="s">
        <v>79</v>
      </c>
      <c r="D15" s="9" t="s">
        <v>80</v>
      </c>
      <c r="E15" s="9" t="s">
        <v>171</v>
      </c>
      <c r="F15" s="9" t="s">
        <v>103</v>
      </c>
      <c r="G15" s="10" t="s">
        <v>172</v>
      </c>
      <c r="H15" s="11" t="s">
        <v>173</v>
      </c>
      <c r="I15" s="10" t="s">
        <v>174</v>
      </c>
      <c r="J15" s="9" t="s">
        <v>148</v>
      </c>
      <c r="K15" s="9"/>
      <c r="L15" s="10" t="s">
        <v>87</v>
      </c>
      <c r="M15" s="9" t="s">
        <v>88</v>
      </c>
      <c r="N15" s="12" t="n">
        <v>45174</v>
      </c>
      <c r="O15" s="9"/>
      <c r="P15" s="9"/>
      <c r="Q15" s="9" t="s">
        <v>89</v>
      </c>
      <c r="R15" s="9" t="s">
        <v>90</v>
      </c>
      <c r="S15" s="9" t="s">
        <v>91</v>
      </c>
      <c r="T15" s="12" t="n">
        <v>46324</v>
      </c>
      <c r="U15" s="10" t="s">
        <v>175</v>
      </c>
    </row>
    <row r="16" customFormat="false" ht="46.25" hidden="false" customHeight="false" outlineLevel="0" collapsed="false">
      <c r="A16" s="9" t="s">
        <v>176</v>
      </c>
      <c r="B16" s="10" t="s">
        <v>177</v>
      </c>
      <c r="C16" s="9" t="s">
        <v>79</v>
      </c>
      <c r="D16" s="9" t="s">
        <v>80</v>
      </c>
      <c r="E16" s="9" t="s">
        <v>130</v>
      </c>
      <c r="F16" s="9" t="s">
        <v>103</v>
      </c>
      <c r="G16" s="10" t="s">
        <v>178</v>
      </c>
      <c r="H16" s="11" t="s">
        <v>179</v>
      </c>
      <c r="I16" s="10" t="s">
        <v>180</v>
      </c>
      <c r="J16" s="9" t="s">
        <v>148</v>
      </c>
      <c r="K16" s="9"/>
      <c r="L16" s="10" t="s">
        <v>87</v>
      </c>
      <c r="M16" s="9" t="s">
        <v>88</v>
      </c>
      <c r="N16" s="9"/>
      <c r="O16" s="9"/>
      <c r="P16" s="9"/>
      <c r="Q16" s="9" t="s">
        <v>98</v>
      </c>
      <c r="R16" s="9" t="s">
        <v>90</v>
      </c>
      <c r="S16" s="9" t="s">
        <v>91</v>
      </c>
      <c r="T16" s="12" t="n">
        <v>46324</v>
      </c>
      <c r="U16" s="10" t="s">
        <v>181</v>
      </c>
    </row>
    <row r="17" customFormat="false" ht="35.05" hidden="false" customHeight="false" outlineLevel="0" collapsed="false">
      <c r="A17" s="9" t="s">
        <v>182</v>
      </c>
      <c r="B17" s="10" t="s">
        <v>183</v>
      </c>
      <c r="C17" s="9" t="s">
        <v>79</v>
      </c>
      <c r="D17" s="9" t="s">
        <v>80</v>
      </c>
      <c r="E17" s="9" t="s">
        <v>130</v>
      </c>
      <c r="F17" s="9" t="s">
        <v>184</v>
      </c>
      <c r="G17" s="10" t="s">
        <v>185</v>
      </c>
      <c r="H17" s="11" t="s">
        <v>186</v>
      </c>
      <c r="I17" s="10" t="s">
        <v>187</v>
      </c>
      <c r="J17" s="9" t="s">
        <v>148</v>
      </c>
      <c r="K17" s="9"/>
      <c r="L17" s="10" t="s">
        <v>87</v>
      </c>
      <c r="M17" s="9" t="s">
        <v>88</v>
      </c>
      <c r="N17" s="9"/>
      <c r="O17" s="9"/>
      <c r="P17" s="9"/>
      <c r="Q17" s="9" t="s">
        <v>89</v>
      </c>
      <c r="R17" s="9" t="s">
        <v>90</v>
      </c>
      <c r="S17" s="9" t="s">
        <v>91</v>
      </c>
      <c r="T17" s="12" t="n">
        <v>46324</v>
      </c>
      <c r="U17" s="10" t="s">
        <v>188</v>
      </c>
    </row>
    <row r="18" customFormat="false" ht="35.05" hidden="false" customHeight="false" outlineLevel="0" collapsed="false">
      <c r="A18" s="9" t="s">
        <v>189</v>
      </c>
      <c r="B18" s="10" t="s">
        <v>190</v>
      </c>
      <c r="C18" s="9" t="s">
        <v>79</v>
      </c>
      <c r="D18" s="9" t="s">
        <v>80</v>
      </c>
      <c r="E18" s="9" t="s">
        <v>130</v>
      </c>
      <c r="F18" s="9" t="s">
        <v>82</v>
      </c>
      <c r="G18" s="10" t="s">
        <v>191</v>
      </c>
      <c r="H18" s="11" t="s">
        <v>192</v>
      </c>
      <c r="I18" s="10" t="s">
        <v>193</v>
      </c>
      <c r="J18" s="9" t="s">
        <v>194</v>
      </c>
      <c r="K18" s="9"/>
      <c r="L18" s="10" t="s">
        <v>87</v>
      </c>
      <c r="M18" s="9" t="s">
        <v>88</v>
      </c>
      <c r="N18" s="12" t="n">
        <v>43831</v>
      </c>
      <c r="O18" s="9"/>
      <c r="P18" s="9"/>
      <c r="Q18" s="9" t="s">
        <v>89</v>
      </c>
      <c r="R18" s="9" t="s">
        <v>90</v>
      </c>
      <c r="S18" s="9" t="s">
        <v>167</v>
      </c>
      <c r="T18" s="12" t="n">
        <v>46324</v>
      </c>
      <c r="U18" s="10" t="s">
        <v>195</v>
      </c>
    </row>
    <row r="19" customFormat="false" ht="46.25" hidden="false" customHeight="false" outlineLevel="0" collapsed="false">
      <c r="A19" s="9" t="s">
        <v>196</v>
      </c>
      <c r="B19" s="10" t="s">
        <v>197</v>
      </c>
      <c r="C19" s="9" t="s">
        <v>79</v>
      </c>
      <c r="D19" s="9" t="s">
        <v>80</v>
      </c>
      <c r="E19" s="9" t="s">
        <v>171</v>
      </c>
      <c r="F19" s="9" t="s">
        <v>198</v>
      </c>
      <c r="G19" s="10" t="s">
        <v>199</v>
      </c>
      <c r="H19" s="11" t="s">
        <v>200</v>
      </c>
      <c r="I19" s="10" t="s">
        <v>201</v>
      </c>
      <c r="J19" s="9" t="s">
        <v>194</v>
      </c>
      <c r="K19" s="9"/>
      <c r="L19" s="10" t="s">
        <v>87</v>
      </c>
      <c r="M19" s="9" t="s">
        <v>88</v>
      </c>
      <c r="N19" s="12" t="n">
        <v>46023</v>
      </c>
      <c r="O19" s="9"/>
      <c r="P19" s="9"/>
      <c r="Q19" s="9" t="s">
        <v>98</v>
      </c>
      <c r="R19" s="9" t="s">
        <v>90</v>
      </c>
      <c r="S19" s="9" t="s">
        <v>91</v>
      </c>
      <c r="T19" s="12" t="n">
        <v>46324</v>
      </c>
      <c r="U19" s="10" t="s">
        <v>202</v>
      </c>
    </row>
    <row r="20" customFormat="false" ht="46.25" hidden="false" customHeight="false" outlineLevel="0" collapsed="false">
      <c r="A20" s="9" t="s">
        <v>203</v>
      </c>
      <c r="B20" s="10" t="s">
        <v>204</v>
      </c>
      <c r="C20" s="9" t="s">
        <v>79</v>
      </c>
      <c r="D20" s="9" t="s">
        <v>80</v>
      </c>
      <c r="E20" s="9" t="s">
        <v>130</v>
      </c>
      <c r="F20" s="9" t="s">
        <v>95</v>
      </c>
      <c r="G20" s="10" t="s">
        <v>205</v>
      </c>
      <c r="H20" s="11" t="s">
        <v>206</v>
      </c>
      <c r="I20" s="10" t="s">
        <v>207</v>
      </c>
      <c r="J20" s="9" t="s">
        <v>208</v>
      </c>
      <c r="K20" s="9"/>
      <c r="L20" s="10" t="s">
        <v>87</v>
      </c>
      <c r="M20" s="9" t="s">
        <v>88</v>
      </c>
      <c r="N20" s="12" t="n">
        <v>46388</v>
      </c>
      <c r="O20" s="9"/>
      <c r="P20" s="9"/>
      <c r="Q20" s="9" t="s">
        <v>209</v>
      </c>
      <c r="R20" s="9" t="s">
        <v>90</v>
      </c>
      <c r="S20" s="9" t="s">
        <v>91</v>
      </c>
      <c r="T20" s="12" t="n">
        <v>46324</v>
      </c>
      <c r="U20" s="10" t="s">
        <v>210</v>
      </c>
    </row>
    <row r="21" customFormat="false" ht="46.25" hidden="false" customHeight="false" outlineLevel="0" collapsed="false">
      <c r="A21" s="9" t="s">
        <v>211</v>
      </c>
      <c r="B21" s="10" t="s">
        <v>212</v>
      </c>
      <c r="C21" s="9" t="s">
        <v>79</v>
      </c>
      <c r="D21" s="9" t="s">
        <v>80</v>
      </c>
      <c r="E21" s="9" t="s">
        <v>130</v>
      </c>
      <c r="F21" s="9" t="s">
        <v>95</v>
      </c>
      <c r="G21" s="10" t="s">
        <v>213</v>
      </c>
      <c r="H21" s="11" t="s">
        <v>214</v>
      </c>
      <c r="I21" s="10" t="s">
        <v>215</v>
      </c>
      <c r="J21" s="9" t="s">
        <v>216</v>
      </c>
      <c r="K21" s="9"/>
      <c r="L21" s="10" t="s">
        <v>87</v>
      </c>
      <c r="M21" s="9" t="s">
        <v>88</v>
      </c>
      <c r="N21" s="12" t="n">
        <v>46023</v>
      </c>
      <c r="O21" s="9"/>
      <c r="P21" s="9"/>
      <c r="Q21" s="9" t="s">
        <v>89</v>
      </c>
      <c r="R21" s="9" t="s">
        <v>90</v>
      </c>
      <c r="S21" s="9" t="s">
        <v>91</v>
      </c>
      <c r="T21" s="12" t="n">
        <v>46324</v>
      </c>
      <c r="U21" s="10" t="s">
        <v>217</v>
      </c>
    </row>
    <row r="22" customFormat="false" ht="35.05" hidden="false" customHeight="false" outlineLevel="0" collapsed="false">
      <c r="A22" s="9" t="s">
        <v>218</v>
      </c>
      <c r="B22" s="10" t="s">
        <v>219</v>
      </c>
      <c r="C22" s="9" t="s">
        <v>79</v>
      </c>
      <c r="D22" s="9" t="s">
        <v>80</v>
      </c>
      <c r="E22" s="9" t="s">
        <v>130</v>
      </c>
      <c r="F22" s="9" t="s">
        <v>82</v>
      </c>
      <c r="G22" s="10" t="s">
        <v>220</v>
      </c>
      <c r="H22" s="11" t="s">
        <v>221</v>
      </c>
      <c r="I22" s="10" t="s">
        <v>215</v>
      </c>
      <c r="J22" s="9" t="s">
        <v>216</v>
      </c>
      <c r="K22" s="9"/>
      <c r="L22" s="10" t="s">
        <v>87</v>
      </c>
      <c r="M22" s="9" t="s">
        <v>88</v>
      </c>
      <c r="N22" s="12" t="n">
        <v>45474</v>
      </c>
      <c r="O22" s="9"/>
      <c r="P22" s="9"/>
      <c r="Q22" s="9" t="s">
        <v>89</v>
      </c>
      <c r="R22" s="9" t="s">
        <v>90</v>
      </c>
      <c r="S22" s="9" t="s">
        <v>91</v>
      </c>
      <c r="T22" s="12" t="n">
        <v>46324</v>
      </c>
      <c r="U22" s="10" t="s">
        <v>222</v>
      </c>
    </row>
    <row r="23" customFormat="false" ht="46.25" hidden="false" customHeight="false" outlineLevel="0" collapsed="false">
      <c r="A23" s="9" t="s">
        <v>223</v>
      </c>
      <c r="B23" s="10" t="s">
        <v>224</v>
      </c>
      <c r="C23" s="9" t="s">
        <v>79</v>
      </c>
      <c r="D23" s="9" t="s">
        <v>80</v>
      </c>
      <c r="E23" s="9" t="s">
        <v>130</v>
      </c>
      <c r="F23" s="9" t="s">
        <v>82</v>
      </c>
      <c r="G23" s="10" t="s">
        <v>225</v>
      </c>
      <c r="H23" s="11" t="s">
        <v>226</v>
      </c>
      <c r="I23" s="10" t="s">
        <v>227</v>
      </c>
      <c r="J23" s="9" t="s">
        <v>228</v>
      </c>
      <c r="K23" s="9"/>
      <c r="L23" s="10" t="s">
        <v>87</v>
      </c>
      <c r="M23" s="9" t="s">
        <v>88</v>
      </c>
      <c r="N23" s="12" t="n">
        <v>44927</v>
      </c>
      <c r="O23" s="9"/>
      <c r="P23" s="9"/>
      <c r="Q23" s="9" t="s">
        <v>89</v>
      </c>
      <c r="R23" s="9" t="s">
        <v>90</v>
      </c>
      <c r="S23" s="9" t="s">
        <v>91</v>
      </c>
      <c r="T23" s="12" t="n">
        <v>46324</v>
      </c>
      <c r="U23" s="10" t="s">
        <v>229</v>
      </c>
    </row>
    <row r="24" customFormat="false" ht="35.05" hidden="false" customHeight="false" outlineLevel="0" collapsed="false">
      <c r="A24" s="9" t="s">
        <v>230</v>
      </c>
      <c r="B24" s="10" t="s">
        <v>231</v>
      </c>
      <c r="C24" s="9" t="s">
        <v>79</v>
      </c>
      <c r="D24" s="9" t="s">
        <v>80</v>
      </c>
      <c r="E24" s="9" t="s">
        <v>130</v>
      </c>
      <c r="F24" s="9" t="s">
        <v>82</v>
      </c>
      <c r="G24" s="10" t="s">
        <v>232</v>
      </c>
      <c r="H24" s="11" t="s">
        <v>233</v>
      </c>
      <c r="I24" s="10" t="s">
        <v>234</v>
      </c>
      <c r="J24" s="9" t="s">
        <v>235</v>
      </c>
      <c r="K24" s="9"/>
      <c r="L24" s="10" t="s">
        <v>87</v>
      </c>
      <c r="M24" s="9" t="s">
        <v>88</v>
      </c>
      <c r="N24" s="12" t="n">
        <v>39724</v>
      </c>
      <c r="O24" s="9"/>
      <c r="P24" s="9"/>
      <c r="Q24" s="9" t="s">
        <v>89</v>
      </c>
      <c r="R24" s="9" t="s">
        <v>90</v>
      </c>
      <c r="S24" s="9" t="s">
        <v>167</v>
      </c>
      <c r="T24" s="12" t="n">
        <v>46324</v>
      </c>
      <c r="U24" s="10" t="s">
        <v>236</v>
      </c>
    </row>
    <row r="25" customFormat="false" ht="35.05" hidden="false" customHeight="false" outlineLevel="0" collapsed="false">
      <c r="A25" s="9" t="s">
        <v>237</v>
      </c>
      <c r="B25" s="10" t="s">
        <v>238</v>
      </c>
      <c r="C25" s="9" t="s">
        <v>79</v>
      </c>
      <c r="D25" s="9" t="s">
        <v>80</v>
      </c>
      <c r="E25" s="9" t="s">
        <v>130</v>
      </c>
      <c r="F25" s="9" t="s">
        <v>95</v>
      </c>
      <c r="G25" s="10" t="s">
        <v>239</v>
      </c>
      <c r="H25" s="11" t="s">
        <v>240</v>
      </c>
      <c r="I25" s="10" t="s">
        <v>241</v>
      </c>
      <c r="J25" s="9" t="s">
        <v>242</v>
      </c>
      <c r="K25" s="9"/>
      <c r="L25" s="10" t="s">
        <v>87</v>
      </c>
      <c r="M25" s="9" t="s">
        <v>88</v>
      </c>
      <c r="N25" s="12" t="n">
        <v>45112</v>
      </c>
      <c r="O25" s="9"/>
      <c r="P25" s="9"/>
      <c r="Q25" s="9" t="s">
        <v>89</v>
      </c>
      <c r="R25" s="9" t="s">
        <v>90</v>
      </c>
      <c r="S25" s="9" t="s">
        <v>91</v>
      </c>
      <c r="T25" s="12" t="n">
        <v>46324</v>
      </c>
      <c r="U25" s="10" t="s">
        <v>243</v>
      </c>
    </row>
    <row r="26" customFormat="false" ht="35.05" hidden="false" customHeight="false" outlineLevel="0" collapsed="false">
      <c r="A26" s="9" t="s">
        <v>244</v>
      </c>
      <c r="B26" s="10" t="s">
        <v>245</v>
      </c>
      <c r="C26" s="9" t="s">
        <v>79</v>
      </c>
      <c r="D26" s="9" t="s">
        <v>80</v>
      </c>
      <c r="E26" s="9" t="s">
        <v>81</v>
      </c>
      <c r="F26" s="9" t="s">
        <v>103</v>
      </c>
      <c r="G26" s="10" t="s">
        <v>246</v>
      </c>
      <c r="H26" s="11" t="s">
        <v>247</v>
      </c>
      <c r="I26" s="10" t="s">
        <v>248</v>
      </c>
      <c r="J26" s="9" t="s">
        <v>242</v>
      </c>
      <c r="K26" s="9"/>
      <c r="L26" s="10" t="s">
        <v>87</v>
      </c>
      <c r="M26" s="9" t="s">
        <v>88</v>
      </c>
      <c r="N26" s="9"/>
      <c r="O26" s="9"/>
      <c r="P26" s="9"/>
      <c r="Q26" s="9" t="s">
        <v>89</v>
      </c>
      <c r="R26" s="9" t="s">
        <v>90</v>
      </c>
      <c r="S26" s="9" t="s">
        <v>91</v>
      </c>
      <c r="T26" s="12" t="n">
        <v>46324</v>
      </c>
      <c r="U26" s="10" t="s">
        <v>249</v>
      </c>
    </row>
    <row r="27" customFormat="false" ht="46.25" hidden="false" customHeight="false" outlineLevel="0" collapsed="false">
      <c r="A27" s="9" t="s">
        <v>250</v>
      </c>
      <c r="B27" s="10" t="s">
        <v>251</v>
      </c>
      <c r="C27" s="9" t="s">
        <v>79</v>
      </c>
      <c r="D27" s="9" t="s">
        <v>80</v>
      </c>
      <c r="E27" s="9" t="s">
        <v>130</v>
      </c>
      <c r="F27" s="9" t="s">
        <v>82</v>
      </c>
      <c r="G27" s="10" t="s">
        <v>252</v>
      </c>
      <c r="H27" s="11" t="s">
        <v>253</v>
      </c>
      <c r="I27" s="10" t="s">
        <v>254</v>
      </c>
      <c r="J27" s="9" t="s">
        <v>255</v>
      </c>
      <c r="K27" s="9"/>
      <c r="L27" s="10" t="s">
        <v>87</v>
      </c>
      <c r="M27" s="9" t="s">
        <v>88</v>
      </c>
      <c r="N27" s="9"/>
      <c r="O27" s="9"/>
      <c r="P27" s="9"/>
      <c r="Q27" s="9" t="s">
        <v>89</v>
      </c>
      <c r="R27" s="9" t="s">
        <v>90</v>
      </c>
      <c r="S27" s="9" t="s">
        <v>91</v>
      </c>
      <c r="T27" s="12" t="n">
        <v>46324</v>
      </c>
      <c r="U27" s="10" t="s">
        <v>256</v>
      </c>
    </row>
    <row r="28" customFormat="false" ht="46.25" hidden="false" customHeight="false" outlineLevel="0" collapsed="false">
      <c r="A28" s="9" t="s">
        <v>257</v>
      </c>
      <c r="B28" s="10" t="s">
        <v>258</v>
      </c>
      <c r="C28" s="9" t="s">
        <v>79</v>
      </c>
      <c r="D28" s="9" t="s">
        <v>80</v>
      </c>
      <c r="E28" s="9" t="s">
        <v>171</v>
      </c>
      <c r="F28" s="9" t="s">
        <v>259</v>
      </c>
      <c r="G28" s="10" t="s">
        <v>260</v>
      </c>
      <c r="H28" s="11" t="s">
        <v>261</v>
      </c>
      <c r="I28" s="10" t="s">
        <v>262</v>
      </c>
      <c r="J28" s="9" t="s">
        <v>255</v>
      </c>
      <c r="K28" s="9"/>
      <c r="L28" s="10" t="s">
        <v>87</v>
      </c>
      <c r="M28" s="9" t="s">
        <v>88</v>
      </c>
      <c r="N28" s="12" t="n">
        <v>45919</v>
      </c>
      <c r="O28" s="9"/>
      <c r="P28" s="9"/>
      <c r="Q28" s="9" t="s">
        <v>89</v>
      </c>
      <c r="R28" s="9" t="s">
        <v>90</v>
      </c>
      <c r="S28" s="9" t="s">
        <v>91</v>
      </c>
      <c r="T28" s="12" t="n">
        <v>46324</v>
      </c>
      <c r="U28" s="10" t="s">
        <v>263</v>
      </c>
    </row>
    <row r="29" customFormat="false" ht="35.05" hidden="false" customHeight="false" outlineLevel="0" collapsed="false">
      <c r="A29" s="9" t="s">
        <v>264</v>
      </c>
      <c r="B29" s="10" t="s">
        <v>265</v>
      </c>
      <c r="C29" s="9" t="s">
        <v>79</v>
      </c>
      <c r="D29" s="9" t="s">
        <v>80</v>
      </c>
      <c r="E29" s="9" t="s">
        <v>130</v>
      </c>
      <c r="F29" s="9" t="s">
        <v>82</v>
      </c>
      <c r="G29" s="10" t="s">
        <v>266</v>
      </c>
      <c r="H29" s="11" t="s">
        <v>267</v>
      </c>
      <c r="I29" s="10" t="s">
        <v>268</v>
      </c>
      <c r="J29" s="9" t="s">
        <v>269</v>
      </c>
      <c r="K29" s="9"/>
      <c r="L29" s="10" t="s">
        <v>87</v>
      </c>
      <c r="M29" s="9" t="s">
        <v>88</v>
      </c>
      <c r="N29" s="12" t="n">
        <v>44378</v>
      </c>
      <c r="O29" s="9"/>
      <c r="P29" s="9"/>
      <c r="Q29" s="9" t="s">
        <v>89</v>
      </c>
      <c r="R29" s="9" t="s">
        <v>90</v>
      </c>
      <c r="S29" s="9" t="s">
        <v>91</v>
      </c>
      <c r="T29" s="12" t="n">
        <v>46324</v>
      </c>
      <c r="U29" s="10" t="s">
        <v>270</v>
      </c>
    </row>
    <row r="30" customFormat="false" ht="46.25" hidden="false" customHeight="false" outlineLevel="0" collapsed="false">
      <c r="A30" s="9" t="s">
        <v>271</v>
      </c>
      <c r="B30" s="10" t="s">
        <v>272</v>
      </c>
      <c r="C30" s="9" t="s">
        <v>79</v>
      </c>
      <c r="D30" s="9" t="s">
        <v>80</v>
      </c>
      <c r="E30" s="9" t="s">
        <v>130</v>
      </c>
      <c r="F30" s="9" t="s">
        <v>82</v>
      </c>
      <c r="G30" s="10" t="s">
        <v>273</v>
      </c>
      <c r="H30" s="11" t="s">
        <v>274</v>
      </c>
      <c r="I30" s="10" t="s">
        <v>275</v>
      </c>
      <c r="J30" s="9" t="s">
        <v>276</v>
      </c>
      <c r="K30" s="9"/>
      <c r="L30" s="10" t="s">
        <v>87</v>
      </c>
      <c r="M30" s="9" t="s">
        <v>88</v>
      </c>
      <c r="N30" s="12" t="n">
        <v>43794</v>
      </c>
      <c r="O30" s="9"/>
      <c r="P30" s="9"/>
      <c r="Q30" s="9" t="s">
        <v>89</v>
      </c>
      <c r="R30" s="9" t="s">
        <v>90</v>
      </c>
      <c r="S30" s="9" t="s">
        <v>91</v>
      </c>
      <c r="T30" s="12" t="n">
        <v>46324</v>
      </c>
      <c r="U30" s="10" t="s">
        <v>277</v>
      </c>
    </row>
    <row r="31" customFormat="false" ht="35.05" hidden="false" customHeight="false" outlineLevel="0" collapsed="false">
      <c r="A31" s="9" t="s">
        <v>278</v>
      </c>
      <c r="B31" s="10" t="s">
        <v>279</v>
      </c>
      <c r="C31" s="9" t="s">
        <v>79</v>
      </c>
      <c r="D31" s="9" t="s">
        <v>80</v>
      </c>
      <c r="E31" s="9" t="s">
        <v>130</v>
      </c>
      <c r="F31" s="9" t="s">
        <v>82</v>
      </c>
      <c r="G31" s="10" t="s">
        <v>280</v>
      </c>
      <c r="H31" s="11" t="s">
        <v>281</v>
      </c>
      <c r="I31" s="10" t="s">
        <v>282</v>
      </c>
      <c r="J31" s="9" t="s">
        <v>283</v>
      </c>
      <c r="K31" s="9"/>
      <c r="L31" s="10" t="s">
        <v>87</v>
      </c>
      <c r="M31" s="9" t="s">
        <v>88</v>
      </c>
      <c r="N31" s="12" t="n">
        <v>44092</v>
      </c>
      <c r="O31" s="9"/>
      <c r="P31" s="9"/>
      <c r="Q31" s="9" t="s">
        <v>89</v>
      </c>
      <c r="R31" s="9" t="s">
        <v>90</v>
      </c>
      <c r="S31" s="9" t="s">
        <v>91</v>
      </c>
      <c r="T31" s="12" t="n">
        <v>46324</v>
      </c>
      <c r="U31" s="10" t="s">
        <v>284</v>
      </c>
    </row>
    <row r="32" customFormat="false" ht="46.25" hidden="false" customHeight="false" outlineLevel="0" collapsed="false">
      <c r="A32" s="9" t="s">
        <v>285</v>
      </c>
      <c r="B32" s="10" t="s">
        <v>286</v>
      </c>
      <c r="C32" s="9" t="s">
        <v>79</v>
      </c>
      <c r="D32" s="9" t="s">
        <v>80</v>
      </c>
      <c r="E32" s="9" t="s">
        <v>130</v>
      </c>
      <c r="F32" s="9" t="s">
        <v>82</v>
      </c>
      <c r="G32" s="10" t="s">
        <v>287</v>
      </c>
      <c r="H32" s="11" t="s">
        <v>288</v>
      </c>
      <c r="I32" s="10" t="s">
        <v>289</v>
      </c>
      <c r="J32" s="9" t="s">
        <v>290</v>
      </c>
      <c r="K32" s="9"/>
      <c r="L32" s="10" t="s">
        <v>87</v>
      </c>
      <c r="M32" s="9" t="s">
        <v>88</v>
      </c>
      <c r="N32" s="9"/>
      <c r="O32" s="9"/>
      <c r="P32" s="9"/>
      <c r="Q32" s="9" t="s">
        <v>98</v>
      </c>
      <c r="R32" s="9" t="s">
        <v>90</v>
      </c>
      <c r="S32" s="9" t="s">
        <v>91</v>
      </c>
      <c r="T32" s="12" t="n">
        <v>46324</v>
      </c>
      <c r="U32" s="10" t="s">
        <v>291</v>
      </c>
    </row>
    <row r="33" customFormat="false" ht="35.05" hidden="false" customHeight="false" outlineLevel="0" collapsed="false">
      <c r="A33" s="9" t="s">
        <v>292</v>
      </c>
      <c r="B33" s="10" t="s">
        <v>293</v>
      </c>
      <c r="C33" s="9" t="s">
        <v>79</v>
      </c>
      <c r="D33" s="9" t="s">
        <v>80</v>
      </c>
      <c r="E33" s="9" t="s">
        <v>130</v>
      </c>
      <c r="F33" s="9" t="s">
        <v>82</v>
      </c>
      <c r="G33" s="10" t="s">
        <v>294</v>
      </c>
      <c r="H33" s="11" t="s">
        <v>295</v>
      </c>
      <c r="I33" s="10" t="s">
        <v>296</v>
      </c>
      <c r="J33" s="9" t="s">
        <v>297</v>
      </c>
      <c r="K33" s="9"/>
      <c r="L33" s="10" t="s">
        <v>87</v>
      </c>
      <c r="M33" s="9" t="s">
        <v>88</v>
      </c>
      <c r="N33" s="9"/>
      <c r="O33" s="9"/>
      <c r="P33" s="9"/>
      <c r="Q33" s="9" t="s">
        <v>89</v>
      </c>
      <c r="R33" s="9" t="s">
        <v>90</v>
      </c>
      <c r="S33" s="9" t="s">
        <v>91</v>
      </c>
      <c r="T33" s="12" t="n">
        <v>46324</v>
      </c>
      <c r="U33" s="10" t="s">
        <v>298</v>
      </c>
    </row>
    <row r="34" customFormat="false" ht="35.05" hidden="false" customHeight="false" outlineLevel="0" collapsed="false">
      <c r="A34" s="9" t="s">
        <v>299</v>
      </c>
      <c r="B34" s="10" t="s">
        <v>300</v>
      </c>
      <c r="C34" s="9" t="s">
        <v>79</v>
      </c>
      <c r="D34" s="9" t="s">
        <v>80</v>
      </c>
      <c r="E34" s="9" t="s">
        <v>130</v>
      </c>
      <c r="F34" s="9" t="s">
        <v>82</v>
      </c>
      <c r="G34" s="10" t="s">
        <v>301</v>
      </c>
      <c r="H34" s="11" t="s">
        <v>302</v>
      </c>
      <c r="I34" s="10" t="s">
        <v>303</v>
      </c>
      <c r="J34" s="9" t="s">
        <v>304</v>
      </c>
      <c r="K34" s="9"/>
      <c r="L34" s="10" t="s">
        <v>87</v>
      </c>
      <c r="M34" s="9" t="s">
        <v>88</v>
      </c>
      <c r="N34" s="9"/>
      <c r="O34" s="9"/>
      <c r="P34" s="9"/>
      <c r="Q34" s="9" t="s">
        <v>89</v>
      </c>
      <c r="R34" s="9" t="s">
        <v>90</v>
      </c>
      <c r="S34" s="9" t="s">
        <v>167</v>
      </c>
      <c r="T34" s="12" t="n">
        <v>46324</v>
      </c>
      <c r="U34" s="10" t="s">
        <v>305</v>
      </c>
    </row>
    <row r="35" customFormat="false" ht="46.25" hidden="false" customHeight="false" outlineLevel="0" collapsed="false">
      <c r="A35" s="9" t="s">
        <v>306</v>
      </c>
      <c r="B35" s="10" t="s">
        <v>307</v>
      </c>
      <c r="C35" s="9" t="s">
        <v>79</v>
      </c>
      <c r="D35" s="9" t="s">
        <v>80</v>
      </c>
      <c r="E35" s="9" t="s">
        <v>130</v>
      </c>
      <c r="F35" s="9" t="s">
        <v>82</v>
      </c>
      <c r="G35" s="10" t="s">
        <v>308</v>
      </c>
      <c r="H35" s="11" t="s">
        <v>309</v>
      </c>
      <c r="I35" s="10" t="s">
        <v>310</v>
      </c>
      <c r="J35" s="9" t="s">
        <v>311</v>
      </c>
      <c r="K35" s="9"/>
      <c r="L35" s="10" t="s">
        <v>87</v>
      </c>
      <c r="M35" s="9" t="s">
        <v>88</v>
      </c>
      <c r="N35" s="9"/>
      <c r="O35" s="9"/>
      <c r="P35" s="9"/>
      <c r="Q35" s="9" t="s">
        <v>89</v>
      </c>
      <c r="R35" s="9" t="s">
        <v>90</v>
      </c>
      <c r="S35" s="9" t="s">
        <v>91</v>
      </c>
      <c r="T35" s="12" t="n">
        <v>46324</v>
      </c>
      <c r="U35" s="10" t="s">
        <v>312</v>
      </c>
    </row>
    <row r="36" customFormat="false" ht="46.25" hidden="false" customHeight="false" outlineLevel="0" collapsed="false">
      <c r="A36" s="9" t="s">
        <v>313</v>
      </c>
      <c r="B36" s="10" t="s">
        <v>314</v>
      </c>
      <c r="C36" s="9" t="s">
        <v>79</v>
      </c>
      <c r="D36" s="9" t="s">
        <v>80</v>
      </c>
      <c r="E36" s="9" t="s">
        <v>315</v>
      </c>
      <c r="F36" s="9" t="s">
        <v>95</v>
      </c>
      <c r="G36" s="10" t="s">
        <v>316</v>
      </c>
      <c r="H36" s="11" t="s">
        <v>317</v>
      </c>
      <c r="I36" s="10" t="s">
        <v>318</v>
      </c>
      <c r="J36" s="9" t="s">
        <v>318</v>
      </c>
      <c r="K36" s="9"/>
      <c r="L36" s="10" t="s">
        <v>87</v>
      </c>
      <c r="M36" s="9" t="s">
        <v>88</v>
      </c>
      <c r="N36" s="9"/>
      <c r="O36" s="9"/>
      <c r="P36" s="9"/>
      <c r="Q36" s="9" t="s">
        <v>209</v>
      </c>
      <c r="R36" s="9" t="s">
        <v>90</v>
      </c>
      <c r="S36" s="9" t="s">
        <v>91</v>
      </c>
      <c r="T36" s="12" t="n">
        <v>46324</v>
      </c>
      <c r="U36" s="10" t="s">
        <v>319</v>
      </c>
    </row>
    <row r="37" customFormat="false" ht="35.05" hidden="false" customHeight="false" outlineLevel="0" collapsed="false">
      <c r="A37" s="9" t="s">
        <v>320</v>
      </c>
      <c r="B37" s="10" t="s">
        <v>321</v>
      </c>
      <c r="C37" s="9" t="s">
        <v>322</v>
      </c>
      <c r="D37" s="9" t="s">
        <v>323</v>
      </c>
      <c r="E37" s="9" t="s">
        <v>324</v>
      </c>
      <c r="F37" s="9" t="s">
        <v>184</v>
      </c>
      <c r="G37" s="10" t="s">
        <v>325</v>
      </c>
      <c r="H37" s="11" t="s">
        <v>326</v>
      </c>
      <c r="I37" s="10" t="s">
        <v>155</v>
      </c>
      <c r="J37" s="9" t="s">
        <v>148</v>
      </c>
      <c r="K37" s="9"/>
      <c r="L37" s="10" t="s">
        <v>87</v>
      </c>
      <c r="M37" s="9" t="s">
        <v>88</v>
      </c>
      <c r="N37" s="9"/>
      <c r="O37" s="9"/>
      <c r="P37" s="9"/>
      <c r="Q37" s="9" t="s">
        <v>327</v>
      </c>
      <c r="R37" s="9" t="s">
        <v>90</v>
      </c>
      <c r="S37" s="9" t="s">
        <v>167</v>
      </c>
      <c r="T37" s="12" t="n">
        <v>46324</v>
      </c>
      <c r="U37" s="10" t="s">
        <v>328</v>
      </c>
    </row>
    <row r="38" customFormat="false" ht="35.05" hidden="false" customHeight="false" outlineLevel="0" collapsed="false">
      <c r="A38" s="9" t="s">
        <v>329</v>
      </c>
      <c r="B38" s="10" t="s">
        <v>201</v>
      </c>
      <c r="C38" s="9" t="s">
        <v>322</v>
      </c>
      <c r="D38" s="9" t="s">
        <v>323</v>
      </c>
      <c r="E38" s="9" t="s">
        <v>324</v>
      </c>
      <c r="F38" s="9" t="s">
        <v>259</v>
      </c>
      <c r="G38" s="10" t="s">
        <v>330</v>
      </c>
      <c r="H38" s="11" t="s">
        <v>331</v>
      </c>
      <c r="I38" s="10" t="s">
        <v>332</v>
      </c>
      <c r="J38" s="9" t="s">
        <v>194</v>
      </c>
      <c r="K38" s="9"/>
      <c r="L38" s="10" t="s">
        <v>87</v>
      </c>
      <c r="M38" s="9" t="s">
        <v>88</v>
      </c>
      <c r="N38" s="9"/>
      <c r="O38" s="9"/>
      <c r="P38" s="9"/>
      <c r="Q38" s="9" t="s">
        <v>327</v>
      </c>
      <c r="R38" s="9" t="s">
        <v>90</v>
      </c>
      <c r="S38" s="9" t="s">
        <v>91</v>
      </c>
      <c r="T38" s="12" t="n">
        <v>46324</v>
      </c>
      <c r="U38" s="10" t="s">
        <v>333</v>
      </c>
    </row>
    <row r="39" customFormat="false" ht="35.05" hidden="false" customHeight="false" outlineLevel="0" collapsed="false">
      <c r="A39" s="9" t="s">
        <v>334</v>
      </c>
      <c r="B39" s="10" t="s">
        <v>335</v>
      </c>
      <c r="C39" s="9" t="s">
        <v>322</v>
      </c>
      <c r="D39" s="9" t="s">
        <v>323</v>
      </c>
      <c r="E39" s="9" t="s">
        <v>324</v>
      </c>
      <c r="F39" s="9" t="s">
        <v>144</v>
      </c>
      <c r="G39" s="10" t="s">
        <v>336</v>
      </c>
      <c r="H39" s="11" t="s">
        <v>337</v>
      </c>
      <c r="I39" s="10" t="s">
        <v>147</v>
      </c>
      <c r="J39" s="9" t="s">
        <v>148</v>
      </c>
      <c r="K39" s="9"/>
      <c r="L39" s="10" t="s">
        <v>87</v>
      </c>
      <c r="M39" s="9" t="s">
        <v>88</v>
      </c>
      <c r="N39" s="9"/>
      <c r="O39" s="9"/>
      <c r="P39" s="9"/>
      <c r="Q39" s="9" t="s">
        <v>327</v>
      </c>
      <c r="R39" s="9" t="s">
        <v>90</v>
      </c>
      <c r="S39" s="9" t="s">
        <v>91</v>
      </c>
      <c r="T39" s="12" t="n">
        <v>46324</v>
      </c>
      <c r="U39" s="10" t="s">
        <v>338</v>
      </c>
    </row>
    <row r="40" customFormat="false" ht="46.25" hidden="false" customHeight="false" outlineLevel="0" collapsed="false">
      <c r="A40" s="9" t="s">
        <v>339</v>
      </c>
      <c r="B40" s="10" t="s">
        <v>340</v>
      </c>
      <c r="C40" s="9" t="s">
        <v>322</v>
      </c>
      <c r="D40" s="9" t="s">
        <v>323</v>
      </c>
      <c r="E40" s="9" t="s">
        <v>324</v>
      </c>
      <c r="F40" s="9" t="s">
        <v>103</v>
      </c>
      <c r="G40" s="10" t="s">
        <v>341</v>
      </c>
      <c r="H40" s="11" t="s">
        <v>342</v>
      </c>
      <c r="I40" s="10" t="s">
        <v>174</v>
      </c>
      <c r="J40" s="9" t="s">
        <v>148</v>
      </c>
      <c r="K40" s="9"/>
      <c r="L40" s="10" t="s">
        <v>87</v>
      </c>
      <c r="M40" s="9" t="s">
        <v>88</v>
      </c>
      <c r="N40" s="9"/>
      <c r="O40" s="9"/>
      <c r="P40" s="9"/>
      <c r="Q40" s="9" t="s">
        <v>327</v>
      </c>
      <c r="R40" s="9" t="s">
        <v>90</v>
      </c>
      <c r="S40" s="9" t="s">
        <v>91</v>
      </c>
      <c r="T40" s="12" t="n">
        <v>46324</v>
      </c>
      <c r="U40" s="10" t="s">
        <v>343</v>
      </c>
    </row>
    <row r="41" customFormat="false" ht="35.05" hidden="false" customHeight="false" outlineLevel="0" collapsed="false">
      <c r="A41" s="9" t="s">
        <v>344</v>
      </c>
      <c r="B41" s="10" t="s">
        <v>345</v>
      </c>
      <c r="C41" s="9" t="s">
        <v>322</v>
      </c>
      <c r="D41" s="9" t="s">
        <v>323</v>
      </c>
      <c r="E41" s="9" t="s">
        <v>346</v>
      </c>
      <c r="F41" s="9" t="s">
        <v>103</v>
      </c>
      <c r="G41" s="10" t="s">
        <v>347</v>
      </c>
      <c r="H41" s="11" t="s">
        <v>348</v>
      </c>
      <c r="I41" s="10" t="s">
        <v>349</v>
      </c>
      <c r="J41" s="9" t="s">
        <v>148</v>
      </c>
      <c r="K41" s="9"/>
      <c r="L41" s="10" t="s">
        <v>87</v>
      </c>
      <c r="M41" s="9" t="s">
        <v>88</v>
      </c>
      <c r="N41" s="9"/>
      <c r="O41" s="9"/>
      <c r="P41" s="9"/>
      <c r="Q41" s="9" t="s">
        <v>327</v>
      </c>
      <c r="R41" s="9" t="s">
        <v>90</v>
      </c>
      <c r="S41" s="9" t="s">
        <v>91</v>
      </c>
      <c r="T41" s="12" t="n">
        <v>46324</v>
      </c>
      <c r="U41" s="10" t="s">
        <v>350</v>
      </c>
    </row>
    <row r="42" customFormat="false" ht="46.25" hidden="false" customHeight="false" outlineLevel="0" collapsed="false">
      <c r="A42" s="9" t="s">
        <v>351</v>
      </c>
      <c r="B42" s="10" t="s">
        <v>352</v>
      </c>
      <c r="C42" s="9" t="s">
        <v>322</v>
      </c>
      <c r="D42" s="9" t="s">
        <v>323</v>
      </c>
      <c r="E42" s="9" t="s">
        <v>346</v>
      </c>
      <c r="F42" s="9" t="s">
        <v>95</v>
      </c>
      <c r="G42" s="10" t="s">
        <v>353</v>
      </c>
      <c r="H42" s="11" t="s">
        <v>354</v>
      </c>
      <c r="I42" s="10" t="s">
        <v>355</v>
      </c>
      <c r="J42" s="9" t="s">
        <v>148</v>
      </c>
      <c r="K42" s="9"/>
      <c r="L42" s="10" t="s">
        <v>87</v>
      </c>
      <c r="M42" s="9" t="s">
        <v>88</v>
      </c>
      <c r="N42" s="9"/>
      <c r="O42" s="9"/>
      <c r="P42" s="9"/>
      <c r="Q42" s="9" t="s">
        <v>327</v>
      </c>
      <c r="R42" s="9" t="s">
        <v>90</v>
      </c>
      <c r="S42" s="9" t="s">
        <v>91</v>
      </c>
      <c r="T42" s="12" t="n">
        <v>46324</v>
      </c>
      <c r="U42" s="10" t="s">
        <v>356</v>
      </c>
    </row>
    <row r="43" customFormat="false" ht="35.05" hidden="false" customHeight="false" outlineLevel="0" collapsed="false">
      <c r="A43" s="9" t="s">
        <v>357</v>
      </c>
      <c r="B43" s="10" t="s">
        <v>358</v>
      </c>
      <c r="C43" s="9" t="s">
        <v>322</v>
      </c>
      <c r="D43" s="9" t="s">
        <v>323</v>
      </c>
      <c r="E43" s="9" t="s">
        <v>359</v>
      </c>
      <c r="F43" s="9" t="s">
        <v>82</v>
      </c>
      <c r="G43" s="10" t="s">
        <v>360</v>
      </c>
      <c r="H43" s="11" t="s">
        <v>361</v>
      </c>
      <c r="I43" s="10" t="s">
        <v>362</v>
      </c>
      <c r="J43" s="9" t="s">
        <v>86</v>
      </c>
      <c r="K43" s="9"/>
      <c r="L43" s="10" t="s">
        <v>87</v>
      </c>
      <c r="M43" s="9" t="s">
        <v>88</v>
      </c>
      <c r="N43" s="9"/>
      <c r="O43" s="9"/>
      <c r="P43" s="9"/>
      <c r="Q43" s="9" t="s">
        <v>327</v>
      </c>
      <c r="R43" s="9" t="s">
        <v>90</v>
      </c>
      <c r="S43" s="9" t="s">
        <v>91</v>
      </c>
      <c r="T43" s="12" t="n">
        <v>46324</v>
      </c>
      <c r="U43" s="10" t="s">
        <v>363</v>
      </c>
    </row>
    <row r="44" customFormat="false" ht="35.05" hidden="false" customHeight="false" outlineLevel="0" collapsed="false">
      <c r="A44" s="9" t="s">
        <v>364</v>
      </c>
      <c r="B44" s="10" t="s">
        <v>365</v>
      </c>
      <c r="C44" s="9" t="s">
        <v>322</v>
      </c>
      <c r="D44" s="9" t="s">
        <v>323</v>
      </c>
      <c r="E44" s="9" t="s">
        <v>324</v>
      </c>
      <c r="F44" s="9" t="s">
        <v>95</v>
      </c>
      <c r="G44" s="10" t="s">
        <v>366</v>
      </c>
      <c r="H44" s="11" t="s">
        <v>367</v>
      </c>
      <c r="I44" s="10" t="s">
        <v>368</v>
      </c>
      <c r="J44" s="9" t="s">
        <v>86</v>
      </c>
      <c r="K44" s="9"/>
      <c r="L44" s="10" t="s">
        <v>87</v>
      </c>
      <c r="M44" s="9" t="s">
        <v>88</v>
      </c>
      <c r="N44" s="9"/>
      <c r="O44" s="9"/>
      <c r="P44" s="9"/>
      <c r="Q44" s="9" t="s">
        <v>327</v>
      </c>
      <c r="R44" s="9" t="s">
        <v>90</v>
      </c>
      <c r="S44" s="9" t="s">
        <v>91</v>
      </c>
      <c r="T44" s="12" t="n">
        <v>46324</v>
      </c>
      <c r="U44" s="10" t="s">
        <v>369</v>
      </c>
    </row>
    <row r="45" customFormat="false" ht="35.05" hidden="false" customHeight="false" outlineLevel="0" collapsed="false">
      <c r="A45" s="9" t="s">
        <v>370</v>
      </c>
      <c r="B45" s="10" t="s">
        <v>371</v>
      </c>
      <c r="C45" s="9" t="s">
        <v>322</v>
      </c>
      <c r="D45" s="9" t="s">
        <v>323</v>
      </c>
      <c r="E45" s="9" t="s">
        <v>346</v>
      </c>
      <c r="F45" s="9" t="s">
        <v>103</v>
      </c>
      <c r="G45" s="10" t="s">
        <v>372</v>
      </c>
      <c r="H45" s="11" t="s">
        <v>373</v>
      </c>
      <c r="I45" s="10" t="s">
        <v>374</v>
      </c>
      <c r="J45" s="9" t="s">
        <v>86</v>
      </c>
      <c r="K45" s="9"/>
      <c r="L45" s="10" t="s">
        <v>87</v>
      </c>
      <c r="M45" s="9" t="s">
        <v>88</v>
      </c>
      <c r="N45" s="9"/>
      <c r="O45" s="9"/>
      <c r="P45" s="9"/>
      <c r="Q45" s="9" t="s">
        <v>327</v>
      </c>
      <c r="R45" s="9" t="s">
        <v>90</v>
      </c>
      <c r="S45" s="9" t="s">
        <v>91</v>
      </c>
      <c r="T45" s="12" t="n">
        <v>46324</v>
      </c>
      <c r="U45" s="10" t="s">
        <v>375</v>
      </c>
    </row>
    <row r="46" customFormat="false" ht="35.05" hidden="false" customHeight="false" outlineLevel="0" collapsed="false">
      <c r="A46" s="9" t="s">
        <v>376</v>
      </c>
      <c r="B46" s="10" t="s">
        <v>377</v>
      </c>
      <c r="C46" s="9" t="s">
        <v>322</v>
      </c>
      <c r="D46" s="9" t="s">
        <v>323</v>
      </c>
      <c r="E46" s="9" t="s">
        <v>324</v>
      </c>
      <c r="F46" s="9" t="s">
        <v>259</v>
      </c>
      <c r="G46" s="10" t="s">
        <v>378</v>
      </c>
      <c r="H46" s="11" t="s">
        <v>379</v>
      </c>
      <c r="I46" s="10" t="s">
        <v>380</v>
      </c>
      <c r="J46" s="9" t="s">
        <v>134</v>
      </c>
      <c r="K46" s="9"/>
      <c r="L46" s="10" t="s">
        <v>87</v>
      </c>
      <c r="M46" s="9" t="s">
        <v>88</v>
      </c>
      <c r="N46" s="9"/>
      <c r="O46" s="9"/>
      <c r="P46" s="9"/>
      <c r="Q46" s="9" t="s">
        <v>327</v>
      </c>
      <c r="R46" s="9" t="s">
        <v>90</v>
      </c>
      <c r="S46" s="9" t="s">
        <v>91</v>
      </c>
      <c r="T46" s="12" t="n">
        <v>46324</v>
      </c>
      <c r="U46" s="10" t="s">
        <v>381</v>
      </c>
    </row>
    <row r="47" customFormat="false" ht="35.05" hidden="false" customHeight="false" outlineLevel="0" collapsed="false">
      <c r="A47" s="9" t="s">
        <v>382</v>
      </c>
      <c r="B47" s="10" t="s">
        <v>383</v>
      </c>
      <c r="C47" s="9" t="s">
        <v>322</v>
      </c>
      <c r="D47" s="9" t="s">
        <v>323</v>
      </c>
      <c r="E47" s="9" t="s">
        <v>324</v>
      </c>
      <c r="F47" s="9" t="s">
        <v>259</v>
      </c>
      <c r="G47" s="10" t="s">
        <v>384</v>
      </c>
      <c r="H47" s="11" t="s">
        <v>385</v>
      </c>
      <c r="I47" s="10" t="s">
        <v>386</v>
      </c>
      <c r="J47" s="9" t="s">
        <v>387</v>
      </c>
      <c r="K47" s="9"/>
      <c r="L47" s="10" t="s">
        <v>87</v>
      </c>
      <c r="M47" s="9" t="s">
        <v>88</v>
      </c>
      <c r="N47" s="9"/>
      <c r="O47" s="9"/>
      <c r="P47" s="9"/>
      <c r="Q47" s="9" t="s">
        <v>327</v>
      </c>
      <c r="R47" s="9" t="s">
        <v>90</v>
      </c>
      <c r="S47" s="9" t="s">
        <v>91</v>
      </c>
      <c r="T47" s="12" t="n">
        <v>46324</v>
      </c>
      <c r="U47" s="10" t="s">
        <v>388</v>
      </c>
    </row>
    <row r="48" customFormat="false" ht="46.25" hidden="false" customHeight="false" outlineLevel="0" collapsed="false">
      <c r="A48" s="9" t="s">
        <v>389</v>
      </c>
      <c r="B48" s="10" t="s">
        <v>390</v>
      </c>
      <c r="C48" s="9" t="s">
        <v>322</v>
      </c>
      <c r="D48" s="9" t="s">
        <v>323</v>
      </c>
      <c r="E48" s="9" t="s">
        <v>324</v>
      </c>
      <c r="F48" s="9" t="s">
        <v>82</v>
      </c>
      <c r="G48" s="10" t="s">
        <v>391</v>
      </c>
      <c r="H48" s="11" t="s">
        <v>392</v>
      </c>
      <c r="I48" s="10" t="s">
        <v>393</v>
      </c>
      <c r="J48" s="9" t="s">
        <v>394</v>
      </c>
      <c r="K48" s="9"/>
      <c r="L48" s="10" t="s">
        <v>87</v>
      </c>
      <c r="M48" s="9" t="s">
        <v>88</v>
      </c>
      <c r="N48" s="9"/>
      <c r="O48" s="9"/>
      <c r="P48" s="9"/>
      <c r="Q48" s="9" t="s">
        <v>327</v>
      </c>
      <c r="R48" s="9" t="s">
        <v>90</v>
      </c>
      <c r="S48" s="9" t="s">
        <v>91</v>
      </c>
      <c r="T48" s="12" t="n">
        <v>46324</v>
      </c>
      <c r="U48" s="10" t="s">
        <v>395</v>
      </c>
    </row>
    <row r="49" customFormat="false" ht="35.05" hidden="false" customHeight="false" outlineLevel="0" collapsed="false">
      <c r="A49" s="9" t="s">
        <v>396</v>
      </c>
      <c r="B49" s="10" t="s">
        <v>262</v>
      </c>
      <c r="C49" s="9" t="s">
        <v>322</v>
      </c>
      <c r="D49" s="9" t="s">
        <v>323</v>
      </c>
      <c r="E49" s="9" t="s">
        <v>324</v>
      </c>
      <c r="F49" s="9" t="s">
        <v>82</v>
      </c>
      <c r="G49" s="10" t="s">
        <v>397</v>
      </c>
      <c r="H49" s="11" t="s">
        <v>398</v>
      </c>
      <c r="I49" s="10" t="s">
        <v>399</v>
      </c>
      <c r="J49" s="9" t="s">
        <v>255</v>
      </c>
      <c r="K49" s="9"/>
      <c r="L49" s="10" t="s">
        <v>87</v>
      </c>
      <c r="M49" s="9" t="s">
        <v>88</v>
      </c>
      <c r="N49" s="9"/>
      <c r="O49" s="9"/>
      <c r="P49" s="9"/>
      <c r="Q49" s="9" t="s">
        <v>327</v>
      </c>
      <c r="R49" s="9" t="s">
        <v>90</v>
      </c>
      <c r="S49" s="9" t="s">
        <v>91</v>
      </c>
      <c r="T49" s="12" t="n">
        <v>46324</v>
      </c>
      <c r="U49" s="10" t="s">
        <v>400</v>
      </c>
    </row>
    <row r="50" customFormat="false" ht="23.85" hidden="false" customHeight="false" outlineLevel="0" collapsed="false">
      <c r="A50" s="9" t="s">
        <v>401</v>
      </c>
      <c r="B50" s="10" t="s">
        <v>402</v>
      </c>
      <c r="C50" s="9" t="s">
        <v>322</v>
      </c>
      <c r="D50" s="9" t="s">
        <v>323</v>
      </c>
      <c r="E50" s="9" t="s">
        <v>324</v>
      </c>
      <c r="F50" s="9" t="s">
        <v>82</v>
      </c>
      <c r="G50" s="10" t="s">
        <v>403</v>
      </c>
      <c r="H50" s="11" t="s">
        <v>404</v>
      </c>
      <c r="I50" s="10" t="s">
        <v>405</v>
      </c>
      <c r="J50" s="9" t="s">
        <v>269</v>
      </c>
      <c r="K50" s="9"/>
      <c r="L50" s="10" t="s">
        <v>87</v>
      </c>
      <c r="M50" s="9" t="s">
        <v>88</v>
      </c>
      <c r="N50" s="9"/>
      <c r="O50" s="9"/>
      <c r="P50" s="9"/>
      <c r="Q50" s="9" t="s">
        <v>327</v>
      </c>
      <c r="R50" s="9" t="s">
        <v>90</v>
      </c>
      <c r="S50" s="9" t="s">
        <v>91</v>
      </c>
      <c r="T50" s="12" t="n">
        <v>46324</v>
      </c>
      <c r="U50" s="10" t="s">
        <v>406</v>
      </c>
    </row>
    <row r="51" customFormat="false" ht="23.85" hidden="false" customHeight="false" outlineLevel="0" collapsed="false">
      <c r="A51" s="9" t="s">
        <v>407</v>
      </c>
      <c r="B51" s="10" t="s">
        <v>408</v>
      </c>
      <c r="C51" s="9" t="s">
        <v>322</v>
      </c>
      <c r="D51" s="9" t="s">
        <v>323</v>
      </c>
      <c r="E51" s="9" t="s">
        <v>324</v>
      </c>
      <c r="F51" s="9" t="s">
        <v>82</v>
      </c>
      <c r="G51" s="10" t="s">
        <v>409</v>
      </c>
      <c r="H51" s="11" t="s">
        <v>410</v>
      </c>
      <c r="I51" s="10" t="s">
        <v>411</v>
      </c>
      <c r="J51" s="9" t="s">
        <v>276</v>
      </c>
      <c r="K51" s="9"/>
      <c r="L51" s="10" t="s">
        <v>87</v>
      </c>
      <c r="M51" s="9" t="s">
        <v>88</v>
      </c>
      <c r="N51" s="9"/>
      <c r="O51" s="9"/>
      <c r="P51" s="9"/>
      <c r="Q51" s="9" t="s">
        <v>327</v>
      </c>
      <c r="R51" s="9" t="s">
        <v>90</v>
      </c>
      <c r="S51" s="9" t="s">
        <v>91</v>
      </c>
      <c r="T51" s="12" t="n">
        <v>46324</v>
      </c>
      <c r="U51" s="10" t="s">
        <v>412</v>
      </c>
    </row>
    <row r="52" customFormat="false" ht="23.85" hidden="false" customHeight="false" outlineLevel="0" collapsed="false">
      <c r="A52" s="9" t="s">
        <v>413</v>
      </c>
      <c r="B52" s="10" t="s">
        <v>414</v>
      </c>
      <c r="C52" s="9" t="s">
        <v>322</v>
      </c>
      <c r="D52" s="9" t="s">
        <v>323</v>
      </c>
      <c r="E52" s="9" t="s">
        <v>324</v>
      </c>
      <c r="F52" s="9" t="s">
        <v>82</v>
      </c>
      <c r="G52" s="10" t="s">
        <v>415</v>
      </c>
      <c r="H52" s="11" t="s">
        <v>416</v>
      </c>
      <c r="I52" s="10" t="s">
        <v>417</v>
      </c>
      <c r="J52" s="9" t="s">
        <v>297</v>
      </c>
      <c r="K52" s="9"/>
      <c r="L52" s="10" t="s">
        <v>87</v>
      </c>
      <c r="M52" s="9" t="s">
        <v>88</v>
      </c>
      <c r="N52" s="9"/>
      <c r="O52" s="9"/>
      <c r="P52" s="9"/>
      <c r="Q52" s="9" t="s">
        <v>327</v>
      </c>
      <c r="R52" s="9" t="s">
        <v>90</v>
      </c>
      <c r="S52" s="9" t="s">
        <v>91</v>
      </c>
      <c r="T52" s="12" t="n">
        <v>46324</v>
      </c>
      <c r="U52" s="10" t="s">
        <v>418</v>
      </c>
    </row>
    <row r="53" customFormat="false" ht="23.85" hidden="false" customHeight="false" outlineLevel="0" collapsed="false">
      <c r="A53" s="9" t="s">
        <v>419</v>
      </c>
      <c r="B53" s="10" t="s">
        <v>420</v>
      </c>
      <c r="C53" s="9" t="s">
        <v>322</v>
      </c>
      <c r="D53" s="9" t="s">
        <v>323</v>
      </c>
      <c r="E53" s="9" t="s">
        <v>324</v>
      </c>
      <c r="F53" s="9" t="s">
        <v>259</v>
      </c>
      <c r="G53" s="10" t="s">
        <v>421</v>
      </c>
      <c r="H53" s="11" t="s">
        <v>422</v>
      </c>
      <c r="I53" s="10" t="s">
        <v>423</v>
      </c>
      <c r="J53" s="9" t="s">
        <v>304</v>
      </c>
      <c r="K53" s="9"/>
      <c r="L53" s="10" t="s">
        <v>87</v>
      </c>
      <c r="M53" s="9" t="s">
        <v>88</v>
      </c>
      <c r="N53" s="9"/>
      <c r="O53" s="9"/>
      <c r="P53" s="9"/>
      <c r="Q53" s="9" t="s">
        <v>327</v>
      </c>
      <c r="R53" s="9" t="s">
        <v>90</v>
      </c>
      <c r="S53" s="9" t="s">
        <v>167</v>
      </c>
      <c r="T53" s="12" t="n">
        <v>46324</v>
      </c>
      <c r="U53" s="10" t="s">
        <v>424</v>
      </c>
    </row>
    <row r="54" customFormat="false" ht="57.45" hidden="false" customHeight="false" outlineLevel="0" collapsed="false">
      <c r="A54" s="9" t="s">
        <v>425</v>
      </c>
      <c r="B54" s="10" t="s">
        <v>426</v>
      </c>
      <c r="C54" s="9" t="s">
        <v>322</v>
      </c>
      <c r="D54" s="9" t="s">
        <v>323</v>
      </c>
      <c r="E54" s="9" t="s">
        <v>359</v>
      </c>
      <c r="F54" s="9" t="s">
        <v>259</v>
      </c>
      <c r="G54" s="10" t="s">
        <v>427</v>
      </c>
      <c r="H54" s="11" t="s">
        <v>428</v>
      </c>
      <c r="I54" s="10" t="s">
        <v>429</v>
      </c>
      <c r="J54" s="9" t="s">
        <v>430</v>
      </c>
      <c r="K54" s="9"/>
      <c r="L54" s="10" t="s">
        <v>87</v>
      </c>
      <c r="M54" s="9" t="s">
        <v>88</v>
      </c>
      <c r="N54" s="9"/>
      <c r="O54" s="9"/>
      <c r="P54" s="9"/>
      <c r="Q54" s="9" t="s">
        <v>327</v>
      </c>
      <c r="R54" s="9" t="s">
        <v>90</v>
      </c>
      <c r="S54" s="9" t="s">
        <v>91</v>
      </c>
      <c r="T54" s="12" t="n">
        <v>46324</v>
      </c>
      <c r="U54" s="10" t="s">
        <v>431</v>
      </c>
    </row>
    <row r="55" customFormat="false" ht="35.05" hidden="false" customHeight="false" outlineLevel="0" collapsed="false">
      <c r="A55" s="9" t="s">
        <v>432</v>
      </c>
      <c r="B55" s="10" t="s">
        <v>433</v>
      </c>
      <c r="C55" s="9" t="s">
        <v>322</v>
      </c>
      <c r="D55" s="9" t="s">
        <v>323</v>
      </c>
      <c r="E55" s="9" t="s">
        <v>324</v>
      </c>
      <c r="F55" s="9" t="s">
        <v>259</v>
      </c>
      <c r="G55" s="10" t="s">
        <v>434</v>
      </c>
      <c r="H55" s="11" t="s">
        <v>435</v>
      </c>
      <c r="I55" s="10" t="s">
        <v>436</v>
      </c>
      <c r="J55" s="9" t="s">
        <v>216</v>
      </c>
      <c r="K55" s="9"/>
      <c r="L55" s="10" t="s">
        <v>87</v>
      </c>
      <c r="M55" s="9" t="s">
        <v>88</v>
      </c>
      <c r="N55" s="9"/>
      <c r="O55" s="9"/>
      <c r="P55" s="9"/>
      <c r="Q55" s="9" t="s">
        <v>327</v>
      </c>
      <c r="R55" s="9" t="s">
        <v>90</v>
      </c>
      <c r="S55" s="9" t="s">
        <v>91</v>
      </c>
      <c r="T55" s="12" t="n">
        <v>46324</v>
      </c>
      <c r="U55" s="10" t="s">
        <v>437</v>
      </c>
    </row>
    <row r="56" customFormat="false" ht="35.05" hidden="false" customHeight="false" outlineLevel="0" collapsed="false">
      <c r="A56" s="9" t="s">
        <v>438</v>
      </c>
      <c r="B56" s="10" t="s">
        <v>439</v>
      </c>
      <c r="C56" s="9" t="s">
        <v>322</v>
      </c>
      <c r="D56" s="9" t="s">
        <v>323</v>
      </c>
      <c r="E56" s="9" t="s">
        <v>324</v>
      </c>
      <c r="F56" s="9" t="s">
        <v>440</v>
      </c>
      <c r="G56" s="10" t="s">
        <v>441</v>
      </c>
      <c r="H56" s="11" t="s">
        <v>442</v>
      </c>
      <c r="I56" s="10" t="s">
        <v>248</v>
      </c>
      <c r="J56" s="9" t="s">
        <v>242</v>
      </c>
      <c r="K56" s="9"/>
      <c r="L56" s="10" t="s">
        <v>87</v>
      </c>
      <c r="M56" s="9" t="s">
        <v>88</v>
      </c>
      <c r="N56" s="9"/>
      <c r="O56" s="9"/>
      <c r="P56" s="9"/>
      <c r="Q56" s="9" t="s">
        <v>327</v>
      </c>
      <c r="R56" s="9" t="s">
        <v>90</v>
      </c>
      <c r="S56" s="9" t="s">
        <v>91</v>
      </c>
      <c r="T56" s="12" t="n">
        <v>46324</v>
      </c>
      <c r="U56" s="10" t="s">
        <v>443</v>
      </c>
    </row>
    <row r="57" customFormat="false" ht="46.25" hidden="false" customHeight="false" outlineLevel="0" collapsed="false">
      <c r="A57" s="9" t="s">
        <v>444</v>
      </c>
      <c r="B57" s="10" t="s">
        <v>445</v>
      </c>
      <c r="C57" s="9" t="s">
        <v>322</v>
      </c>
      <c r="D57" s="9" t="s">
        <v>323</v>
      </c>
      <c r="E57" s="9" t="s">
        <v>324</v>
      </c>
      <c r="F57" s="9" t="s">
        <v>82</v>
      </c>
      <c r="G57" s="10" t="s">
        <v>446</v>
      </c>
      <c r="H57" s="11" t="s">
        <v>447</v>
      </c>
      <c r="I57" s="10" t="s">
        <v>448</v>
      </c>
      <c r="J57" s="9" t="s">
        <v>283</v>
      </c>
      <c r="K57" s="9"/>
      <c r="L57" s="10" t="s">
        <v>87</v>
      </c>
      <c r="M57" s="9" t="s">
        <v>88</v>
      </c>
      <c r="N57" s="9"/>
      <c r="O57" s="9"/>
      <c r="P57" s="9"/>
      <c r="Q57" s="9" t="s">
        <v>327</v>
      </c>
      <c r="R57" s="9" t="s">
        <v>90</v>
      </c>
      <c r="S57" s="9" t="s">
        <v>167</v>
      </c>
      <c r="T57" s="12" t="n">
        <v>46324</v>
      </c>
      <c r="U57" s="10" t="s">
        <v>449</v>
      </c>
    </row>
    <row r="58" customFormat="false" ht="46.25" hidden="false" customHeight="false" outlineLevel="0" collapsed="false">
      <c r="A58" s="9" t="s">
        <v>450</v>
      </c>
      <c r="B58" s="10" t="s">
        <v>451</v>
      </c>
      <c r="C58" s="9" t="s">
        <v>452</v>
      </c>
      <c r="D58" s="9" t="s">
        <v>453</v>
      </c>
      <c r="E58" s="9" t="s">
        <v>454</v>
      </c>
      <c r="F58" s="9" t="s">
        <v>103</v>
      </c>
      <c r="G58" s="10" t="s">
        <v>455</v>
      </c>
      <c r="H58" s="11" t="s">
        <v>456</v>
      </c>
      <c r="I58" s="10" t="s">
        <v>457</v>
      </c>
      <c r="J58" s="9" t="s">
        <v>148</v>
      </c>
      <c r="K58" s="9" t="s">
        <v>458</v>
      </c>
      <c r="L58" s="10" t="s">
        <v>87</v>
      </c>
      <c r="M58" s="9" t="s">
        <v>88</v>
      </c>
      <c r="N58" s="9"/>
      <c r="O58" s="9"/>
      <c r="P58" s="9"/>
      <c r="Q58" s="9" t="s">
        <v>327</v>
      </c>
      <c r="R58" s="9" t="s">
        <v>90</v>
      </c>
      <c r="S58" s="9" t="s">
        <v>91</v>
      </c>
      <c r="T58" s="12" t="n">
        <v>46324</v>
      </c>
      <c r="U58" s="10" t="s">
        <v>459</v>
      </c>
    </row>
    <row r="59" customFormat="false" ht="46.25" hidden="false" customHeight="false" outlineLevel="0" collapsed="false">
      <c r="A59" s="9" t="s">
        <v>460</v>
      </c>
      <c r="B59" s="10" t="s">
        <v>461</v>
      </c>
      <c r="C59" s="9" t="s">
        <v>452</v>
      </c>
      <c r="D59" s="9" t="s">
        <v>453</v>
      </c>
      <c r="E59" s="9" t="s">
        <v>454</v>
      </c>
      <c r="F59" s="9" t="s">
        <v>82</v>
      </c>
      <c r="G59" s="10" t="s">
        <v>462</v>
      </c>
      <c r="H59" s="11" t="s">
        <v>463</v>
      </c>
      <c r="I59" s="10" t="s">
        <v>457</v>
      </c>
      <c r="J59" s="9" t="s">
        <v>148</v>
      </c>
      <c r="K59" s="9" t="s">
        <v>458</v>
      </c>
      <c r="L59" s="10" t="s">
        <v>87</v>
      </c>
      <c r="M59" s="9" t="s">
        <v>88</v>
      </c>
      <c r="N59" s="9"/>
      <c r="O59" s="9"/>
      <c r="P59" s="9"/>
      <c r="Q59" s="9" t="s">
        <v>327</v>
      </c>
      <c r="R59" s="9" t="s">
        <v>90</v>
      </c>
      <c r="S59" s="9" t="s">
        <v>91</v>
      </c>
      <c r="T59" s="12" t="n">
        <v>46324</v>
      </c>
      <c r="U59" s="10" t="s">
        <v>464</v>
      </c>
    </row>
    <row r="60" customFormat="false" ht="46.25" hidden="false" customHeight="false" outlineLevel="0" collapsed="false">
      <c r="A60" s="9" t="s">
        <v>465</v>
      </c>
      <c r="B60" s="10" t="s">
        <v>466</v>
      </c>
      <c r="C60" s="9" t="s">
        <v>452</v>
      </c>
      <c r="D60" s="9" t="s">
        <v>453</v>
      </c>
      <c r="E60" s="9" t="s">
        <v>454</v>
      </c>
      <c r="F60" s="9" t="s">
        <v>95</v>
      </c>
      <c r="G60" s="10" t="s">
        <v>467</v>
      </c>
      <c r="H60" s="11" t="s">
        <v>468</v>
      </c>
      <c r="I60" s="10" t="s">
        <v>457</v>
      </c>
      <c r="J60" s="9" t="s">
        <v>148</v>
      </c>
      <c r="K60" s="9" t="s">
        <v>458</v>
      </c>
      <c r="L60" s="10" t="s">
        <v>87</v>
      </c>
      <c r="M60" s="9" t="s">
        <v>88</v>
      </c>
      <c r="N60" s="9"/>
      <c r="O60" s="9"/>
      <c r="P60" s="9"/>
      <c r="Q60" s="9" t="s">
        <v>327</v>
      </c>
      <c r="R60" s="9" t="s">
        <v>90</v>
      </c>
      <c r="S60" s="9" t="s">
        <v>91</v>
      </c>
      <c r="T60" s="12" t="n">
        <v>46324</v>
      </c>
      <c r="U60" s="10" t="s">
        <v>469</v>
      </c>
    </row>
    <row r="61" customFormat="false" ht="35.05" hidden="false" customHeight="false" outlineLevel="0" collapsed="false">
      <c r="A61" s="9" t="s">
        <v>470</v>
      </c>
      <c r="B61" s="10" t="s">
        <v>471</v>
      </c>
      <c r="C61" s="9" t="s">
        <v>452</v>
      </c>
      <c r="D61" s="9" t="s">
        <v>453</v>
      </c>
      <c r="E61" s="9" t="s">
        <v>454</v>
      </c>
      <c r="F61" s="9" t="s">
        <v>95</v>
      </c>
      <c r="G61" s="10" t="s">
        <v>472</v>
      </c>
      <c r="H61" s="11" t="s">
        <v>473</v>
      </c>
      <c r="I61" s="10" t="s">
        <v>457</v>
      </c>
      <c r="J61" s="9" t="s">
        <v>148</v>
      </c>
      <c r="K61" s="9" t="s">
        <v>474</v>
      </c>
      <c r="L61" s="10" t="s">
        <v>87</v>
      </c>
      <c r="M61" s="9" t="s">
        <v>475</v>
      </c>
      <c r="N61" s="9"/>
      <c r="O61" s="9"/>
      <c r="P61" s="9"/>
      <c r="Q61" s="9" t="s">
        <v>327</v>
      </c>
      <c r="R61" s="9" t="s">
        <v>90</v>
      </c>
      <c r="S61" s="9" t="s">
        <v>91</v>
      </c>
      <c r="T61" s="12" t="n">
        <v>46324</v>
      </c>
      <c r="U61" s="10" t="s">
        <v>476</v>
      </c>
    </row>
    <row r="62" customFormat="false" ht="35.05" hidden="false" customHeight="false" outlineLevel="0" collapsed="false">
      <c r="A62" s="9" t="s">
        <v>477</v>
      </c>
      <c r="B62" s="10" t="s">
        <v>478</v>
      </c>
      <c r="C62" s="9" t="s">
        <v>452</v>
      </c>
      <c r="D62" s="9" t="s">
        <v>453</v>
      </c>
      <c r="E62" s="9" t="s">
        <v>479</v>
      </c>
      <c r="F62" s="9" t="s">
        <v>152</v>
      </c>
      <c r="G62" s="10" t="s">
        <v>480</v>
      </c>
      <c r="H62" s="11" t="s">
        <v>481</v>
      </c>
      <c r="I62" s="10" t="s">
        <v>457</v>
      </c>
      <c r="J62" s="9" t="s">
        <v>148</v>
      </c>
      <c r="K62" s="9" t="s">
        <v>482</v>
      </c>
      <c r="L62" s="10" t="s">
        <v>87</v>
      </c>
      <c r="M62" s="9" t="s">
        <v>475</v>
      </c>
      <c r="N62" s="9"/>
      <c r="O62" s="9"/>
      <c r="P62" s="9"/>
      <c r="Q62" s="9" t="s">
        <v>327</v>
      </c>
      <c r="R62" s="9" t="s">
        <v>90</v>
      </c>
      <c r="S62" s="9" t="s">
        <v>91</v>
      </c>
      <c r="T62" s="12" t="n">
        <v>46324</v>
      </c>
      <c r="U62" s="10" t="s">
        <v>483</v>
      </c>
    </row>
    <row r="63" customFormat="false" ht="35.05" hidden="false" customHeight="false" outlineLevel="0" collapsed="false">
      <c r="A63" s="9" t="s">
        <v>484</v>
      </c>
      <c r="B63" s="10" t="s">
        <v>485</v>
      </c>
      <c r="C63" s="9" t="s">
        <v>452</v>
      </c>
      <c r="D63" s="9" t="s">
        <v>453</v>
      </c>
      <c r="E63" s="9" t="s">
        <v>454</v>
      </c>
      <c r="F63" s="9" t="s">
        <v>103</v>
      </c>
      <c r="G63" s="10" t="s">
        <v>486</v>
      </c>
      <c r="H63" s="11" t="s">
        <v>487</v>
      </c>
      <c r="I63" s="10" t="s">
        <v>457</v>
      </c>
      <c r="J63" s="9" t="s">
        <v>148</v>
      </c>
      <c r="K63" s="9" t="s">
        <v>474</v>
      </c>
      <c r="L63" s="10" t="s">
        <v>87</v>
      </c>
      <c r="M63" s="9" t="s">
        <v>475</v>
      </c>
      <c r="N63" s="9"/>
      <c r="O63" s="9"/>
      <c r="P63" s="9"/>
      <c r="Q63" s="9" t="s">
        <v>327</v>
      </c>
      <c r="R63" s="9" t="s">
        <v>90</v>
      </c>
      <c r="S63" s="9" t="s">
        <v>91</v>
      </c>
      <c r="T63" s="12" t="n">
        <v>46324</v>
      </c>
      <c r="U63" s="10" t="s">
        <v>488</v>
      </c>
    </row>
    <row r="64" customFormat="false" ht="46.25" hidden="false" customHeight="false" outlineLevel="0" collapsed="false">
      <c r="A64" s="9" t="s">
        <v>489</v>
      </c>
      <c r="B64" s="10" t="s">
        <v>490</v>
      </c>
      <c r="C64" s="9" t="s">
        <v>452</v>
      </c>
      <c r="D64" s="9" t="s">
        <v>453</v>
      </c>
      <c r="E64" s="9" t="s">
        <v>491</v>
      </c>
      <c r="F64" s="9" t="s">
        <v>103</v>
      </c>
      <c r="G64" s="10" t="s">
        <v>492</v>
      </c>
      <c r="H64" s="11" t="s">
        <v>493</v>
      </c>
      <c r="I64" s="10" t="s">
        <v>494</v>
      </c>
      <c r="J64" s="9" t="s">
        <v>430</v>
      </c>
      <c r="K64" s="9" t="s">
        <v>474</v>
      </c>
      <c r="L64" s="10" t="s">
        <v>495</v>
      </c>
      <c r="M64" s="9" t="s">
        <v>475</v>
      </c>
      <c r="N64" s="9"/>
      <c r="O64" s="9"/>
      <c r="P64" s="9"/>
      <c r="Q64" s="9" t="s">
        <v>327</v>
      </c>
      <c r="R64" s="9" t="s">
        <v>90</v>
      </c>
      <c r="S64" s="9" t="s">
        <v>167</v>
      </c>
      <c r="T64" s="12" t="n">
        <v>46324</v>
      </c>
      <c r="U64" s="10" t="s">
        <v>496</v>
      </c>
    </row>
    <row r="65" customFormat="false" ht="35.05" hidden="false" customHeight="false" outlineLevel="0" collapsed="false">
      <c r="A65" s="9" t="s">
        <v>497</v>
      </c>
      <c r="B65" s="10" t="s">
        <v>498</v>
      </c>
      <c r="C65" s="9" t="s">
        <v>452</v>
      </c>
      <c r="D65" s="9" t="s">
        <v>453</v>
      </c>
      <c r="E65" s="9" t="s">
        <v>479</v>
      </c>
      <c r="F65" s="9" t="s">
        <v>103</v>
      </c>
      <c r="G65" s="10" t="s">
        <v>499</v>
      </c>
      <c r="H65" s="11" t="s">
        <v>500</v>
      </c>
      <c r="I65" s="10" t="s">
        <v>494</v>
      </c>
      <c r="J65" s="9" t="s">
        <v>430</v>
      </c>
      <c r="K65" s="9" t="s">
        <v>474</v>
      </c>
      <c r="L65" s="10" t="s">
        <v>501</v>
      </c>
      <c r="M65" s="9" t="s">
        <v>475</v>
      </c>
      <c r="N65" s="9"/>
      <c r="O65" s="9"/>
      <c r="P65" s="9"/>
      <c r="Q65" s="9" t="s">
        <v>327</v>
      </c>
      <c r="R65" s="9" t="s">
        <v>90</v>
      </c>
      <c r="S65" s="9" t="s">
        <v>91</v>
      </c>
      <c r="T65" s="12" t="n">
        <v>46324</v>
      </c>
      <c r="U65" s="10" t="s">
        <v>502</v>
      </c>
    </row>
    <row r="66" customFormat="false" ht="46.25" hidden="false" customHeight="false" outlineLevel="0" collapsed="false">
      <c r="A66" s="9" t="s">
        <v>503</v>
      </c>
      <c r="B66" s="10" t="s">
        <v>504</v>
      </c>
      <c r="C66" s="9" t="s">
        <v>452</v>
      </c>
      <c r="D66" s="9" t="s">
        <v>453</v>
      </c>
      <c r="E66" s="9" t="s">
        <v>491</v>
      </c>
      <c r="F66" s="9" t="s">
        <v>82</v>
      </c>
      <c r="G66" s="10" t="s">
        <v>505</v>
      </c>
      <c r="H66" s="11" t="s">
        <v>506</v>
      </c>
      <c r="I66" s="10" t="s">
        <v>494</v>
      </c>
      <c r="J66" s="9" t="s">
        <v>430</v>
      </c>
      <c r="K66" s="9" t="s">
        <v>474</v>
      </c>
      <c r="L66" s="10" t="s">
        <v>507</v>
      </c>
      <c r="M66" s="9" t="s">
        <v>475</v>
      </c>
      <c r="N66" s="9"/>
      <c r="O66" s="9"/>
      <c r="P66" s="9"/>
      <c r="Q66" s="9" t="s">
        <v>327</v>
      </c>
      <c r="R66" s="9" t="s">
        <v>90</v>
      </c>
      <c r="S66" s="9" t="s">
        <v>91</v>
      </c>
      <c r="T66" s="12" t="n">
        <v>46324</v>
      </c>
      <c r="U66" s="10" t="s">
        <v>508</v>
      </c>
    </row>
    <row r="67" customFormat="false" ht="35.05" hidden="false" customHeight="false" outlineLevel="0" collapsed="false">
      <c r="A67" s="9" t="s">
        <v>509</v>
      </c>
      <c r="B67" s="10" t="s">
        <v>510</v>
      </c>
      <c r="C67" s="9" t="s">
        <v>452</v>
      </c>
      <c r="D67" s="9" t="s">
        <v>453</v>
      </c>
      <c r="E67" s="9" t="s">
        <v>491</v>
      </c>
      <c r="F67" s="9" t="s">
        <v>95</v>
      </c>
      <c r="G67" s="10" t="s">
        <v>511</v>
      </c>
      <c r="H67" s="11" t="s">
        <v>512</v>
      </c>
      <c r="I67" s="10" t="s">
        <v>494</v>
      </c>
      <c r="J67" s="9" t="s">
        <v>430</v>
      </c>
      <c r="K67" s="9" t="s">
        <v>474</v>
      </c>
      <c r="L67" s="10" t="s">
        <v>507</v>
      </c>
      <c r="M67" s="9" t="s">
        <v>475</v>
      </c>
      <c r="N67" s="9"/>
      <c r="O67" s="9"/>
      <c r="P67" s="9"/>
      <c r="Q67" s="9" t="s">
        <v>327</v>
      </c>
      <c r="R67" s="9" t="s">
        <v>90</v>
      </c>
      <c r="S67" s="9" t="s">
        <v>167</v>
      </c>
      <c r="T67" s="12" t="n">
        <v>46324</v>
      </c>
      <c r="U67" s="10" t="s">
        <v>513</v>
      </c>
    </row>
    <row r="68" customFormat="false" ht="23.85" hidden="false" customHeight="false" outlineLevel="0" collapsed="false">
      <c r="A68" s="9" t="s">
        <v>514</v>
      </c>
      <c r="B68" s="10" t="s">
        <v>515</v>
      </c>
      <c r="C68" s="9" t="s">
        <v>452</v>
      </c>
      <c r="D68" s="9" t="s">
        <v>453</v>
      </c>
      <c r="E68" s="9" t="s">
        <v>491</v>
      </c>
      <c r="F68" s="9" t="s">
        <v>95</v>
      </c>
      <c r="G68" s="10" t="s">
        <v>516</v>
      </c>
      <c r="H68" s="11" t="s">
        <v>517</v>
      </c>
      <c r="I68" s="10" t="s">
        <v>494</v>
      </c>
      <c r="J68" s="9" t="s">
        <v>430</v>
      </c>
      <c r="K68" s="9" t="s">
        <v>482</v>
      </c>
      <c r="L68" s="10" t="s">
        <v>495</v>
      </c>
      <c r="M68" s="9" t="s">
        <v>475</v>
      </c>
      <c r="N68" s="9"/>
      <c r="O68" s="9"/>
      <c r="P68" s="9"/>
      <c r="Q68" s="9" t="s">
        <v>327</v>
      </c>
      <c r="R68" s="9" t="s">
        <v>90</v>
      </c>
      <c r="S68" s="9" t="s">
        <v>91</v>
      </c>
      <c r="T68" s="12" t="n">
        <v>46324</v>
      </c>
      <c r="U68" s="10" t="s">
        <v>518</v>
      </c>
    </row>
    <row r="69" customFormat="false" ht="35.05" hidden="false" customHeight="false" outlineLevel="0" collapsed="false">
      <c r="A69" s="9" t="s">
        <v>519</v>
      </c>
      <c r="B69" s="10" t="s">
        <v>520</v>
      </c>
      <c r="C69" s="9" t="s">
        <v>452</v>
      </c>
      <c r="D69" s="9" t="s">
        <v>453</v>
      </c>
      <c r="E69" s="9" t="s">
        <v>491</v>
      </c>
      <c r="F69" s="9" t="s">
        <v>82</v>
      </c>
      <c r="G69" s="10" t="s">
        <v>521</v>
      </c>
      <c r="H69" s="11" t="s">
        <v>522</v>
      </c>
      <c r="I69" s="10" t="s">
        <v>494</v>
      </c>
      <c r="J69" s="9" t="s">
        <v>430</v>
      </c>
      <c r="K69" s="9" t="s">
        <v>523</v>
      </c>
      <c r="L69" s="10" t="s">
        <v>524</v>
      </c>
      <c r="M69" s="9" t="s">
        <v>475</v>
      </c>
      <c r="N69" s="9"/>
      <c r="O69" s="9"/>
      <c r="P69" s="9"/>
      <c r="Q69" s="9" t="s">
        <v>327</v>
      </c>
      <c r="R69" s="9" t="s">
        <v>90</v>
      </c>
      <c r="S69" s="9" t="s">
        <v>167</v>
      </c>
      <c r="T69" s="12" t="n">
        <v>46324</v>
      </c>
      <c r="U69" s="10" t="s">
        <v>525</v>
      </c>
    </row>
    <row r="70" customFormat="false" ht="35.05" hidden="false" customHeight="false" outlineLevel="0" collapsed="false">
      <c r="A70" s="9" t="s">
        <v>526</v>
      </c>
      <c r="B70" s="10" t="s">
        <v>527</v>
      </c>
      <c r="C70" s="9" t="s">
        <v>452</v>
      </c>
      <c r="D70" s="9" t="s">
        <v>453</v>
      </c>
      <c r="E70" s="9" t="s">
        <v>491</v>
      </c>
      <c r="F70" s="9" t="s">
        <v>82</v>
      </c>
      <c r="G70" s="10" t="s">
        <v>528</v>
      </c>
      <c r="H70" s="11" t="s">
        <v>529</v>
      </c>
      <c r="I70" s="10" t="s">
        <v>530</v>
      </c>
      <c r="J70" s="9" t="s">
        <v>430</v>
      </c>
      <c r="K70" s="9" t="s">
        <v>474</v>
      </c>
      <c r="L70" s="10" t="s">
        <v>531</v>
      </c>
      <c r="M70" s="9" t="s">
        <v>475</v>
      </c>
      <c r="N70" s="9"/>
      <c r="O70" s="9"/>
      <c r="P70" s="9"/>
      <c r="Q70" s="9" t="s">
        <v>327</v>
      </c>
      <c r="R70" s="9" t="s">
        <v>90</v>
      </c>
      <c r="S70" s="9" t="s">
        <v>167</v>
      </c>
      <c r="T70" s="12" t="n">
        <v>46324</v>
      </c>
      <c r="U70" s="10" t="s">
        <v>532</v>
      </c>
    </row>
    <row r="71" customFormat="false" ht="46.25" hidden="false" customHeight="false" outlineLevel="0" collapsed="false">
      <c r="A71" s="9" t="s">
        <v>533</v>
      </c>
      <c r="B71" s="10" t="s">
        <v>534</v>
      </c>
      <c r="C71" s="9" t="s">
        <v>452</v>
      </c>
      <c r="D71" s="9" t="s">
        <v>453</v>
      </c>
      <c r="E71" s="9" t="s">
        <v>479</v>
      </c>
      <c r="F71" s="9" t="s">
        <v>152</v>
      </c>
      <c r="G71" s="10" t="s">
        <v>535</v>
      </c>
      <c r="H71" s="11" t="s">
        <v>536</v>
      </c>
      <c r="I71" s="10" t="s">
        <v>537</v>
      </c>
      <c r="J71" s="9" t="s">
        <v>148</v>
      </c>
      <c r="K71" s="9" t="s">
        <v>474</v>
      </c>
      <c r="L71" s="10" t="s">
        <v>538</v>
      </c>
      <c r="M71" s="9" t="s">
        <v>475</v>
      </c>
      <c r="N71" s="9"/>
      <c r="O71" s="9"/>
      <c r="P71" s="9"/>
      <c r="Q71" s="9" t="s">
        <v>327</v>
      </c>
      <c r="R71" s="9" t="s">
        <v>90</v>
      </c>
      <c r="S71" s="9" t="s">
        <v>91</v>
      </c>
      <c r="T71" s="12" t="n">
        <v>46324</v>
      </c>
      <c r="U71" s="10" t="s">
        <v>539</v>
      </c>
    </row>
    <row r="72" customFormat="false" ht="35.05" hidden="false" customHeight="false" outlineLevel="0" collapsed="false">
      <c r="A72" s="9" t="s">
        <v>540</v>
      </c>
      <c r="B72" s="10" t="s">
        <v>541</v>
      </c>
      <c r="C72" s="9" t="s">
        <v>452</v>
      </c>
      <c r="D72" s="9" t="s">
        <v>453</v>
      </c>
      <c r="E72" s="9" t="s">
        <v>491</v>
      </c>
      <c r="F72" s="9" t="s">
        <v>103</v>
      </c>
      <c r="G72" s="10" t="s">
        <v>542</v>
      </c>
      <c r="H72" s="11" t="s">
        <v>543</v>
      </c>
      <c r="I72" s="10" t="s">
        <v>544</v>
      </c>
      <c r="J72" s="9" t="s">
        <v>430</v>
      </c>
      <c r="K72" s="9" t="s">
        <v>474</v>
      </c>
      <c r="L72" s="10" t="s">
        <v>87</v>
      </c>
      <c r="M72" s="9" t="s">
        <v>475</v>
      </c>
      <c r="N72" s="9"/>
      <c r="O72" s="9"/>
      <c r="P72" s="9"/>
      <c r="Q72" s="9" t="s">
        <v>327</v>
      </c>
      <c r="R72" s="9" t="s">
        <v>90</v>
      </c>
      <c r="S72" s="9" t="s">
        <v>91</v>
      </c>
      <c r="T72" s="12" t="n">
        <v>46324</v>
      </c>
      <c r="U72" s="10" t="s">
        <v>545</v>
      </c>
    </row>
    <row r="73" customFormat="false" ht="46.25" hidden="false" customHeight="false" outlineLevel="0" collapsed="false">
      <c r="A73" s="9" t="s">
        <v>546</v>
      </c>
      <c r="B73" s="10" t="s">
        <v>547</v>
      </c>
      <c r="C73" s="9" t="s">
        <v>452</v>
      </c>
      <c r="D73" s="9" t="s">
        <v>453</v>
      </c>
      <c r="E73" s="9" t="s">
        <v>479</v>
      </c>
      <c r="F73" s="9" t="s">
        <v>103</v>
      </c>
      <c r="G73" s="10" t="s">
        <v>548</v>
      </c>
      <c r="H73" s="11" t="s">
        <v>549</v>
      </c>
      <c r="I73" s="10" t="s">
        <v>550</v>
      </c>
      <c r="J73" s="9" t="s">
        <v>430</v>
      </c>
      <c r="K73" s="9" t="s">
        <v>458</v>
      </c>
      <c r="L73" s="10" t="s">
        <v>87</v>
      </c>
      <c r="M73" s="9" t="s">
        <v>475</v>
      </c>
      <c r="N73" s="9"/>
      <c r="O73" s="9"/>
      <c r="P73" s="9"/>
      <c r="Q73" s="9" t="s">
        <v>327</v>
      </c>
      <c r="R73" s="9" t="s">
        <v>90</v>
      </c>
      <c r="S73" s="9" t="s">
        <v>91</v>
      </c>
      <c r="T73" s="12" t="n">
        <v>46324</v>
      </c>
      <c r="U73" s="10" t="s">
        <v>551</v>
      </c>
    </row>
    <row r="74" customFormat="false" ht="35.05" hidden="false" customHeight="false" outlineLevel="0" collapsed="false">
      <c r="A74" s="9" t="s">
        <v>552</v>
      </c>
      <c r="B74" s="10" t="s">
        <v>553</v>
      </c>
      <c r="C74" s="9" t="s">
        <v>452</v>
      </c>
      <c r="D74" s="9" t="s">
        <v>453</v>
      </c>
      <c r="E74" s="9" t="s">
        <v>554</v>
      </c>
      <c r="F74" s="9" t="s">
        <v>103</v>
      </c>
      <c r="G74" s="10" t="s">
        <v>555</v>
      </c>
      <c r="H74" s="11" t="s">
        <v>556</v>
      </c>
      <c r="I74" s="10" t="s">
        <v>557</v>
      </c>
      <c r="J74" s="9" t="s">
        <v>430</v>
      </c>
      <c r="K74" s="9" t="s">
        <v>474</v>
      </c>
      <c r="L74" s="10" t="s">
        <v>87</v>
      </c>
      <c r="M74" s="9" t="s">
        <v>88</v>
      </c>
      <c r="N74" s="9"/>
      <c r="O74" s="9"/>
      <c r="P74" s="9"/>
      <c r="Q74" s="9" t="s">
        <v>327</v>
      </c>
      <c r="R74" s="9" t="s">
        <v>90</v>
      </c>
      <c r="S74" s="9" t="s">
        <v>91</v>
      </c>
      <c r="T74" s="12" t="n">
        <v>46324</v>
      </c>
      <c r="U74" s="10" t="s">
        <v>558</v>
      </c>
    </row>
    <row r="75" customFormat="false" ht="35.05" hidden="false" customHeight="false" outlineLevel="0" collapsed="false">
      <c r="A75" s="9" t="s">
        <v>559</v>
      </c>
      <c r="B75" s="10" t="s">
        <v>560</v>
      </c>
      <c r="C75" s="9" t="s">
        <v>452</v>
      </c>
      <c r="D75" s="9" t="s">
        <v>453</v>
      </c>
      <c r="E75" s="9" t="s">
        <v>554</v>
      </c>
      <c r="F75" s="9" t="s">
        <v>561</v>
      </c>
      <c r="G75" s="10" t="s">
        <v>562</v>
      </c>
      <c r="H75" s="11" t="s">
        <v>563</v>
      </c>
      <c r="I75" s="10" t="s">
        <v>557</v>
      </c>
      <c r="J75" s="9" t="s">
        <v>430</v>
      </c>
      <c r="K75" s="9" t="s">
        <v>474</v>
      </c>
      <c r="L75" s="10" t="s">
        <v>87</v>
      </c>
      <c r="M75" s="9" t="s">
        <v>88</v>
      </c>
      <c r="N75" s="9"/>
      <c r="O75" s="9"/>
      <c r="P75" s="9"/>
      <c r="Q75" s="9" t="s">
        <v>327</v>
      </c>
      <c r="R75" s="9" t="s">
        <v>90</v>
      </c>
      <c r="S75" s="9" t="s">
        <v>91</v>
      </c>
      <c r="T75" s="12" t="n">
        <v>46324</v>
      </c>
      <c r="U75" s="10" t="s">
        <v>564</v>
      </c>
    </row>
    <row r="76" customFormat="false" ht="35.05" hidden="false" customHeight="false" outlineLevel="0" collapsed="false">
      <c r="A76" s="9" t="s">
        <v>565</v>
      </c>
      <c r="B76" s="10" t="s">
        <v>566</v>
      </c>
      <c r="C76" s="9" t="s">
        <v>452</v>
      </c>
      <c r="D76" s="9" t="s">
        <v>453</v>
      </c>
      <c r="E76" s="9" t="s">
        <v>454</v>
      </c>
      <c r="F76" s="9" t="s">
        <v>561</v>
      </c>
      <c r="G76" s="10" t="s">
        <v>567</v>
      </c>
      <c r="H76" s="11" t="s">
        <v>568</v>
      </c>
      <c r="I76" s="10" t="s">
        <v>569</v>
      </c>
      <c r="J76" s="9" t="s">
        <v>430</v>
      </c>
      <c r="K76" s="9" t="s">
        <v>474</v>
      </c>
      <c r="L76" s="10" t="s">
        <v>87</v>
      </c>
      <c r="M76" s="9" t="s">
        <v>475</v>
      </c>
      <c r="N76" s="9"/>
      <c r="O76" s="9"/>
      <c r="P76" s="9"/>
      <c r="Q76" s="9" t="s">
        <v>327</v>
      </c>
      <c r="R76" s="9" t="s">
        <v>90</v>
      </c>
      <c r="S76" s="9" t="s">
        <v>91</v>
      </c>
      <c r="T76" s="12" t="n">
        <v>46324</v>
      </c>
      <c r="U76" s="10" t="s">
        <v>570</v>
      </c>
    </row>
    <row r="77" customFormat="false" ht="35.05" hidden="false" customHeight="false" outlineLevel="0" collapsed="false">
      <c r="A77" s="9" t="s">
        <v>571</v>
      </c>
      <c r="B77" s="10" t="s">
        <v>572</v>
      </c>
      <c r="C77" s="9" t="s">
        <v>452</v>
      </c>
      <c r="D77" s="9" t="s">
        <v>453</v>
      </c>
      <c r="E77" s="9" t="s">
        <v>454</v>
      </c>
      <c r="F77" s="9" t="s">
        <v>561</v>
      </c>
      <c r="G77" s="10" t="s">
        <v>573</v>
      </c>
      <c r="H77" s="11" t="s">
        <v>574</v>
      </c>
      <c r="I77" s="10" t="s">
        <v>569</v>
      </c>
      <c r="J77" s="9" t="s">
        <v>430</v>
      </c>
      <c r="K77" s="9" t="s">
        <v>474</v>
      </c>
      <c r="L77" s="10" t="s">
        <v>87</v>
      </c>
      <c r="M77" s="9" t="s">
        <v>475</v>
      </c>
      <c r="N77" s="9"/>
      <c r="O77" s="9"/>
      <c r="P77" s="9"/>
      <c r="Q77" s="9" t="s">
        <v>327</v>
      </c>
      <c r="R77" s="9" t="s">
        <v>90</v>
      </c>
      <c r="S77" s="9" t="s">
        <v>91</v>
      </c>
      <c r="T77" s="12" t="n">
        <v>46324</v>
      </c>
      <c r="U77" s="10" t="s">
        <v>575</v>
      </c>
    </row>
    <row r="78" customFormat="false" ht="35.05" hidden="false" customHeight="false" outlineLevel="0" collapsed="false">
      <c r="A78" s="9" t="s">
        <v>576</v>
      </c>
      <c r="B78" s="10" t="s">
        <v>577</v>
      </c>
      <c r="C78" s="9" t="s">
        <v>452</v>
      </c>
      <c r="D78" s="9" t="s">
        <v>453</v>
      </c>
      <c r="E78" s="9" t="s">
        <v>454</v>
      </c>
      <c r="F78" s="9" t="s">
        <v>103</v>
      </c>
      <c r="G78" s="10" t="s">
        <v>578</v>
      </c>
      <c r="H78" s="11" t="s">
        <v>579</v>
      </c>
      <c r="I78" s="10" t="s">
        <v>580</v>
      </c>
      <c r="J78" s="9" t="s">
        <v>430</v>
      </c>
      <c r="K78" s="9" t="s">
        <v>523</v>
      </c>
      <c r="L78" s="10" t="s">
        <v>87</v>
      </c>
      <c r="M78" s="9" t="s">
        <v>88</v>
      </c>
      <c r="N78" s="9"/>
      <c r="O78" s="9"/>
      <c r="P78" s="9"/>
      <c r="Q78" s="9" t="s">
        <v>327</v>
      </c>
      <c r="R78" s="9" t="s">
        <v>90</v>
      </c>
      <c r="S78" s="9" t="s">
        <v>91</v>
      </c>
      <c r="T78" s="12" t="n">
        <v>46324</v>
      </c>
      <c r="U78" s="10" t="s">
        <v>581</v>
      </c>
    </row>
    <row r="79" customFormat="false" ht="35.05" hidden="false" customHeight="false" outlineLevel="0" collapsed="false">
      <c r="A79" s="9" t="s">
        <v>582</v>
      </c>
      <c r="B79" s="10" t="s">
        <v>583</v>
      </c>
      <c r="C79" s="9" t="s">
        <v>452</v>
      </c>
      <c r="D79" s="9" t="s">
        <v>453</v>
      </c>
      <c r="E79" s="9" t="s">
        <v>584</v>
      </c>
      <c r="F79" s="9" t="s">
        <v>585</v>
      </c>
      <c r="G79" s="10" t="s">
        <v>586</v>
      </c>
      <c r="H79" s="11" t="s">
        <v>587</v>
      </c>
      <c r="I79" s="10" t="s">
        <v>588</v>
      </c>
      <c r="J79" s="9" t="s">
        <v>430</v>
      </c>
      <c r="K79" s="9" t="s">
        <v>523</v>
      </c>
      <c r="L79" s="10" t="s">
        <v>87</v>
      </c>
      <c r="M79" s="9" t="s">
        <v>88</v>
      </c>
      <c r="N79" s="9"/>
      <c r="O79" s="9"/>
      <c r="P79" s="9"/>
      <c r="Q79" s="9" t="s">
        <v>327</v>
      </c>
      <c r="R79" s="9" t="s">
        <v>90</v>
      </c>
      <c r="S79" s="9" t="s">
        <v>91</v>
      </c>
      <c r="T79" s="12" t="n">
        <v>46324</v>
      </c>
      <c r="U79" s="10" t="s">
        <v>589</v>
      </c>
    </row>
    <row r="80" customFormat="false" ht="46.25" hidden="false" customHeight="false" outlineLevel="0" collapsed="false">
      <c r="A80" s="9" t="s">
        <v>590</v>
      </c>
      <c r="B80" s="10" t="s">
        <v>591</v>
      </c>
      <c r="C80" s="9" t="s">
        <v>452</v>
      </c>
      <c r="D80" s="9" t="s">
        <v>453</v>
      </c>
      <c r="E80" s="9" t="s">
        <v>584</v>
      </c>
      <c r="F80" s="9" t="s">
        <v>585</v>
      </c>
      <c r="G80" s="10" t="s">
        <v>592</v>
      </c>
      <c r="H80" s="11" t="s">
        <v>593</v>
      </c>
      <c r="I80" s="10" t="s">
        <v>594</v>
      </c>
      <c r="J80" s="9" t="s">
        <v>430</v>
      </c>
      <c r="K80" s="9" t="s">
        <v>523</v>
      </c>
      <c r="L80" s="10" t="s">
        <v>87</v>
      </c>
      <c r="M80" s="9" t="s">
        <v>88</v>
      </c>
      <c r="N80" s="9"/>
      <c r="O80" s="9"/>
      <c r="P80" s="9"/>
      <c r="Q80" s="9" t="s">
        <v>327</v>
      </c>
      <c r="R80" s="9" t="s">
        <v>90</v>
      </c>
      <c r="S80" s="9" t="s">
        <v>91</v>
      </c>
      <c r="T80" s="12" t="n">
        <v>46324</v>
      </c>
      <c r="U80" s="10" t="s">
        <v>595</v>
      </c>
    </row>
    <row r="81" customFormat="false" ht="46.25" hidden="false" customHeight="false" outlineLevel="0" collapsed="false">
      <c r="A81" s="9" t="s">
        <v>596</v>
      </c>
      <c r="B81" s="10" t="s">
        <v>597</v>
      </c>
      <c r="C81" s="9" t="s">
        <v>452</v>
      </c>
      <c r="D81" s="9" t="s">
        <v>453</v>
      </c>
      <c r="E81" s="9" t="s">
        <v>584</v>
      </c>
      <c r="F81" s="9" t="s">
        <v>82</v>
      </c>
      <c r="G81" s="10" t="s">
        <v>598</v>
      </c>
      <c r="H81" s="11" t="s">
        <v>599</v>
      </c>
      <c r="I81" s="10" t="s">
        <v>600</v>
      </c>
      <c r="J81" s="9" t="s">
        <v>148</v>
      </c>
      <c r="K81" s="9" t="s">
        <v>523</v>
      </c>
      <c r="L81" s="10" t="s">
        <v>87</v>
      </c>
      <c r="M81" s="9" t="s">
        <v>88</v>
      </c>
      <c r="N81" s="9"/>
      <c r="O81" s="9"/>
      <c r="P81" s="9"/>
      <c r="Q81" s="9" t="s">
        <v>327</v>
      </c>
      <c r="R81" s="9" t="s">
        <v>90</v>
      </c>
      <c r="S81" s="9" t="s">
        <v>91</v>
      </c>
      <c r="T81" s="12" t="n">
        <v>46324</v>
      </c>
      <c r="U81" s="10" t="s">
        <v>601</v>
      </c>
    </row>
    <row r="82" customFormat="false" ht="46.25" hidden="false" customHeight="false" outlineLevel="0" collapsed="false">
      <c r="A82" s="9" t="s">
        <v>602</v>
      </c>
      <c r="B82" s="10" t="s">
        <v>603</v>
      </c>
      <c r="C82" s="9" t="s">
        <v>452</v>
      </c>
      <c r="D82" s="9" t="s">
        <v>453</v>
      </c>
      <c r="E82" s="9" t="s">
        <v>479</v>
      </c>
      <c r="F82" s="9" t="s">
        <v>152</v>
      </c>
      <c r="G82" s="10" t="s">
        <v>604</v>
      </c>
      <c r="H82" s="11" t="s">
        <v>605</v>
      </c>
      <c r="I82" s="10" t="s">
        <v>606</v>
      </c>
      <c r="J82" s="9" t="s">
        <v>148</v>
      </c>
      <c r="K82" s="9" t="s">
        <v>482</v>
      </c>
      <c r="L82" s="10" t="s">
        <v>607</v>
      </c>
      <c r="M82" s="9" t="s">
        <v>475</v>
      </c>
      <c r="N82" s="9"/>
      <c r="O82" s="9"/>
      <c r="P82" s="9"/>
      <c r="Q82" s="9" t="s">
        <v>327</v>
      </c>
      <c r="R82" s="9" t="s">
        <v>90</v>
      </c>
      <c r="S82" s="9" t="s">
        <v>91</v>
      </c>
      <c r="T82" s="12" t="n">
        <v>46324</v>
      </c>
      <c r="U82" s="10" t="s">
        <v>608</v>
      </c>
    </row>
    <row r="83" customFormat="false" ht="35.05" hidden="false" customHeight="false" outlineLevel="0" collapsed="false">
      <c r="A83" s="9" t="s">
        <v>609</v>
      </c>
      <c r="B83" s="10" t="s">
        <v>610</v>
      </c>
      <c r="C83" s="9" t="s">
        <v>452</v>
      </c>
      <c r="D83" s="9" t="s">
        <v>453</v>
      </c>
      <c r="E83" s="9" t="s">
        <v>479</v>
      </c>
      <c r="F83" s="9" t="s">
        <v>103</v>
      </c>
      <c r="G83" s="10" t="s">
        <v>611</v>
      </c>
      <c r="H83" s="11" t="s">
        <v>612</v>
      </c>
      <c r="I83" s="10" t="s">
        <v>613</v>
      </c>
      <c r="J83" s="9" t="s">
        <v>430</v>
      </c>
      <c r="K83" s="9" t="s">
        <v>474</v>
      </c>
      <c r="L83" s="10" t="s">
        <v>87</v>
      </c>
      <c r="M83" s="9" t="s">
        <v>475</v>
      </c>
      <c r="N83" s="9"/>
      <c r="O83" s="9"/>
      <c r="P83" s="9"/>
      <c r="Q83" s="9" t="s">
        <v>327</v>
      </c>
      <c r="R83" s="9" t="s">
        <v>90</v>
      </c>
      <c r="S83" s="9" t="s">
        <v>91</v>
      </c>
      <c r="T83" s="12" t="n">
        <v>46324</v>
      </c>
      <c r="U83" s="10" t="s">
        <v>614</v>
      </c>
    </row>
    <row r="84" customFormat="false" ht="35.05" hidden="false" customHeight="false" outlineLevel="0" collapsed="false">
      <c r="A84" s="9" t="s">
        <v>615</v>
      </c>
      <c r="B84" s="10" t="s">
        <v>616</v>
      </c>
      <c r="C84" s="9" t="s">
        <v>452</v>
      </c>
      <c r="D84" s="9" t="s">
        <v>453</v>
      </c>
      <c r="E84" s="9" t="s">
        <v>479</v>
      </c>
      <c r="F84" s="9" t="s">
        <v>561</v>
      </c>
      <c r="G84" s="10" t="s">
        <v>617</v>
      </c>
      <c r="H84" s="11" t="s">
        <v>618</v>
      </c>
      <c r="I84" s="10" t="s">
        <v>613</v>
      </c>
      <c r="J84" s="9" t="s">
        <v>430</v>
      </c>
      <c r="K84" s="9" t="s">
        <v>482</v>
      </c>
      <c r="L84" s="10" t="s">
        <v>87</v>
      </c>
      <c r="M84" s="9" t="s">
        <v>475</v>
      </c>
      <c r="N84" s="9"/>
      <c r="O84" s="9"/>
      <c r="P84" s="9"/>
      <c r="Q84" s="9" t="s">
        <v>327</v>
      </c>
      <c r="R84" s="9" t="s">
        <v>90</v>
      </c>
      <c r="S84" s="9" t="s">
        <v>91</v>
      </c>
      <c r="T84" s="12" t="n">
        <v>46324</v>
      </c>
      <c r="U84" s="10" t="s">
        <v>619</v>
      </c>
    </row>
    <row r="85" customFormat="false" ht="35.05" hidden="false" customHeight="false" outlineLevel="0" collapsed="false">
      <c r="A85" s="9" t="s">
        <v>620</v>
      </c>
      <c r="B85" s="10" t="s">
        <v>621</v>
      </c>
      <c r="C85" s="9" t="s">
        <v>452</v>
      </c>
      <c r="D85" s="9" t="s">
        <v>453</v>
      </c>
      <c r="E85" s="9" t="s">
        <v>454</v>
      </c>
      <c r="F85" s="9" t="s">
        <v>622</v>
      </c>
      <c r="G85" s="10" t="s">
        <v>623</v>
      </c>
      <c r="H85" s="11" t="s">
        <v>624</v>
      </c>
      <c r="I85" s="10" t="s">
        <v>625</v>
      </c>
      <c r="J85" s="9" t="s">
        <v>430</v>
      </c>
      <c r="K85" s="9" t="s">
        <v>482</v>
      </c>
      <c r="L85" s="10" t="s">
        <v>626</v>
      </c>
      <c r="M85" s="9" t="s">
        <v>475</v>
      </c>
      <c r="N85" s="9"/>
      <c r="O85" s="9"/>
      <c r="P85" s="9"/>
      <c r="Q85" s="9" t="s">
        <v>327</v>
      </c>
      <c r="R85" s="9" t="s">
        <v>90</v>
      </c>
      <c r="S85" s="9" t="s">
        <v>91</v>
      </c>
      <c r="T85" s="12" t="n">
        <v>46324</v>
      </c>
      <c r="U85" s="10" t="s">
        <v>627</v>
      </c>
    </row>
    <row r="86" customFormat="false" ht="46.25" hidden="false" customHeight="false" outlineLevel="0" collapsed="false">
      <c r="A86" s="9" t="s">
        <v>628</v>
      </c>
      <c r="B86" s="10" t="s">
        <v>629</v>
      </c>
      <c r="C86" s="9" t="s">
        <v>452</v>
      </c>
      <c r="D86" s="9" t="s">
        <v>453</v>
      </c>
      <c r="E86" s="9" t="s">
        <v>491</v>
      </c>
      <c r="F86" s="9" t="s">
        <v>630</v>
      </c>
      <c r="G86" s="10" t="s">
        <v>631</v>
      </c>
      <c r="H86" s="11" t="s">
        <v>632</v>
      </c>
      <c r="I86" s="10" t="s">
        <v>633</v>
      </c>
      <c r="J86" s="9" t="s">
        <v>430</v>
      </c>
      <c r="K86" s="9" t="s">
        <v>482</v>
      </c>
      <c r="L86" s="10" t="s">
        <v>634</v>
      </c>
      <c r="M86" s="9" t="s">
        <v>475</v>
      </c>
      <c r="N86" s="9"/>
      <c r="O86" s="9"/>
      <c r="P86" s="9"/>
      <c r="Q86" s="9" t="s">
        <v>327</v>
      </c>
      <c r="R86" s="9" t="s">
        <v>90</v>
      </c>
      <c r="S86" s="9" t="s">
        <v>91</v>
      </c>
      <c r="T86" s="12" t="n">
        <v>46324</v>
      </c>
      <c r="U86" s="10" t="s">
        <v>635</v>
      </c>
    </row>
    <row r="87" customFormat="false" ht="57.45" hidden="false" customHeight="false" outlineLevel="0" collapsed="false">
      <c r="A87" s="9" t="s">
        <v>636</v>
      </c>
      <c r="B87" s="10" t="s">
        <v>637</v>
      </c>
      <c r="C87" s="9" t="s">
        <v>452</v>
      </c>
      <c r="D87" s="9" t="s">
        <v>453</v>
      </c>
      <c r="E87" s="9" t="s">
        <v>491</v>
      </c>
      <c r="F87" s="9" t="s">
        <v>82</v>
      </c>
      <c r="G87" s="10" t="s">
        <v>638</v>
      </c>
      <c r="H87" s="11" t="s">
        <v>639</v>
      </c>
      <c r="I87" s="10" t="s">
        <v>640</v>
      </c>
      <c r="J87" s="9" t="s">
        <v>430</v>
      </c>
      <c r="K87" s="9" t="s">
        <v>474</v>
      </c>
      <c r="L87" s="10" t="s">
        <v>87</v>
      </c>
      <c r="M87" s="9" t="s">
        <v>475</v>
      </c>
      <c r="N87" s="9"/>
      <c r="O87" s="9"/>
      <c r="P87" s="9"/>
      <c r="Q87" s="9" t="s">
        <v>327</v>
      </c>
      <c r="R87" s="9" t="s">
        <v>90</v>
      </c>
      <c r="S87" s="9" t="s">
        <v>91</v>
      </c>
      <c r="T87" s="12" t="n">
        <v>46324</v>
      </c>
      <c r="U87" s="10" t="s">
        <v>641</v>
      </c>
    </row>
    <row r="88" customFormat="false" ht="35.05" hidden="false" customHeight="false" outlineLevel="0" collapsed="false">
      <c r="A88" s="9" t="s">
        <v>642</v>
      </c>
      <c r="B88" s="10" t="s">
        <v>643</v>
      </c>
      <c r="C88" s="9" t="s">
        <v>644</v>
      </c>
      <c r="D88" s="9" t="s">
        <v>645</v>
      </c>
      <c r="E88" s="9" t="s">
        <v>646</v>
      </c>
      <c r="F88" s="9" t="s">
        <v>138</v>
      </c>
      <c r="G88" s="10" t="s">
        <v>647</v>
      </c>
      <c r="H88" s="11" t="s">
        <v>648</v>
      </c>
      <c r="I88" s="10" t="s">
        <v>649</v>
      </c>
      <c r="J88" s="9" t="s">
        <v>148</v>
      </c>
      <c r="K88" s="9" t="s">
        <v>474</v>
      </c>
      <c r="L88" s="10" t="s">
        <v>650</v>
      </c>
      <c r="M88" s="9" t="s">
        <v>651</v>
      </c>
      <c r="N88" s="9"/>
      <c r="O88" s="9"/>
      <c r="P88" s="9"/>
      <c r="Q88" s="9" t="s">
        <v>327</v>
      </c>
      <c r="R88" s="9" t="s">
        <v>90</v>
      </c>
      <c r="S88" s="9" t="s">
        <v>91</v>
      </c>
      <c r="T88" s="12" t="n">
        <v>46324</v>
      </c>
      <c r="U88" s="10" t="s">
        <v>652</v>
      </c>
    </row>
    <row r="89" customFormat="false" ht="35.05" hidden="false" customHeight="false" outlineLevel="0" collapsed="false">
      <c r="A89" s="9" t="s">
        <v>653</v>
      </c>
      <c r="B89" s="10" t="s">
        <v>654</v>
      </c>
      <c r="C89" s="9" t="s">
        <v>644</v>
      </c>
      <c r="D89" s="9" t="s">
        <v>645</v>
      </c>
      <c r="E89" s="9" t="s">
        <v>646</v>
      </c>
      <c r="F89" s="9" t="s">
        <v>138</v>
      </c>
      <c r="G89" s="10" t="s">
        <v>655</v>
      </c>
      <c r="H89" s="11" t="s">
        <v>656</v>
      </c>
      <c r="I89" s="10" t="s">
        <v>649</v>
      </c>
      <c r="J89" s="9" t="s">
        <v>86</v>
      </c>
      <c r="K89" s="9" t="s">
        <v>474</v>
      </c>
      <c r="L89" s="10" t="s">
        <v>650</v>
      </c>
      <c r="M89" s="9" t="s">
        <v>651</v>
      </c>
      <c r="N89" s="9"/>
      <c r="O89" s="9"/>
      <c r="P89" s="9"/>
      <c r="Q89" s="9" t="s">
        <v>327</v>
      </c>
      <c r="R89" s="9" t="s">
        <v>90</v>
      </c>
      <c r="S89" s="9" t="s">
        <v>91</v>
      </c>
      <c r="T89" s="12" t="n">
        <v>46324</v>
      </c>
      <c r="U89" s="10" t="s">
        <v>657</v>
      </c>
    </row>
    <row r="90" customFormat="false" ht="35.05" hidden="false" customHeight="false" outlineLevel="0" collapsed="false">
      <c r="A90" s="9" t="s">
        <v>658</v>
      </c>
      <c r="B90" s="10" t="s">
        <v>659</v>
      </c>
      <c r="C90" s="9" t="s">
        <v>644</v>
      </c>
      <c r="D90" s="9" t="s">
        <v>645</v>
      </c>
      <c r="E90" s="9" t="s">
        <v>646</v>
      </c>
      <c r="F90" s="9" t="s">
        <v>138</v>
      </c>
      <c r="G90" s="10" t="s">
        <v>660</v>
      </c>
      <c r="H90" s="11" t="s">
        <v>661</v>
      </c>
      <c r="I90" s="10" t="s">
        <v>649</v>
      </c>
      <c r="J90" s="9" t="s">
        <v>297</v>
      </c>
      <c r="K90" s="9" t="s">
        <v>474</v>
      </c>
      <c r="L90" s="10" t="s">
        <v>662</v>
      </c>
      <c r="M90" s="9" t="s">
        <v>651</v>
      </c>
      <c r="N90" s="9"/>
      <c r="O90" s="9"/>
      <c r="P90" s="9"/>
      <c r="Q90" s="9" t="s">
        <v>327</v>
      </c>
      <c r="R90" s="9" t="s">
        <v>90</v>
      </c>
      <c r="S90" s="9" t="s">
        <v>91</v>
      </c>
      <c r="T90" s="12" t="n">
        <v>46324</v>
      </c>
      <c r="U90" s="10" t="s">
        <v>663</v>
      </c>
    </row>
    <row r="91" customFormat="false" ht="35.05" hidden="false" customHeight="false" outlineLevel="0" collapsed="false">
      <c r="A91" s="9" t="s">
        <v>664</v>
      </c>
      <c r="B91" s="10" t="s">
        <v>665</v>
      </c>
      <c r="C91" s="9" t="s">
        <v>644</v>
      </c>
      <c r="D91" s="9" t="s">
        <v>645</v>
      </c>
      <c r="E91" s="9" t="s">
        <v>646</v>
      </c>
      <c r="F91" s="9" t="s">
        <v>138</v>
      </c>
      <c r="G91" s="10" t="s">
        <v>666</v>
      </c>
      <c r="H91" s="11" t="s">
        <v>667</v>
      </c>
      <c r="I91" s="10" t="s">
        <v>649</v>
      </c>
      <c r="J91" s="9" t="s">
        <v>668</v>
      </c>
      <c r="K91" s="9" t="s">
        <v>474</v>
      </c>
      <c r="L91" s="10" t="s">
        <v>650</v>
      </c>
      <c r="M91" s="9" t="s">
        <v>651</v>
      </c>
      <c r="N91" s="9"/>
      <c r="O91" s="9"/>
      <c r="P91" s="9"/>
      <c r="Q91" s="9" t="s">
        <v>327</v>
      </c>
      <c r="R91" s="9" t="s">
        <v>90</v>
      </c>
      <c r="S91" s="9" t="s">
        <v>91</v>
      </c>
      <c r="T91" s="12" t="n">
        <v>46324</v>
      </c>
      <c r="U91" s="10" t="s">
        <v>669</v>
      </c>
    </row>
    <row r="92" customFormat="false" ht="35.05" hidden="false" customHeight="false" outlineLevel="0" collapsed="false">
      <c r="A92" s="9" t="s">
        <v>670</v>
      </c>
      <c r="B92" s="10" t="s">
        <v>671</v>
      </c>
      <c r="C92" s="9" t="s">
        <v>644</v>
      </c>
      <c r="D92" s="9" t="s">
        <v>645</v>
      </c>
      <c r="E92" s="9" t="s">
        <v>646</v>
      </c>
      <c r="F92" s="9" t="s">
        <v>82</v>
      </c>
      <c r="G92" s="10" t="s">
        <v>672</v>
      </c>
      <c r="H92" s="11" t="s">
        <v>673</v>
      </c>
      <c r="I92" s="10" t="s">
        <v>649</v>
      </c>
      <c r="J92" s="9" t="s">
        <v>430</v>
      </c>
      <c r="K92" s="9" t="s">
        <v>474</v>
      </c>
      <c r="L92" s="10" t="s">
        <v>650</v>
      </c>
      <c r="M92" s="9" t="s">
        <v>651</v>
      </c>
      <c r="N92" s="9"/>
      <c r="O92" s="9"/>
      <c r="P92" s="9"/>
      <c r="Q92" s="9" t="s">
        <v>327</v>
      </c>
      <c r="R92" s="9" t="s">
        <v>90</v>
      </c>
      <c r="S92" s="9" t="s">
        <v>91</v>
      </c>
      <c r="T92" s="12" t="n">
        <v>46324</v>
      </c>
      <c r="U92" s="10" t="s">
        <v>674</v>
      </c>
    </row>
    <row r="93" customFormat="false" ht="23.85" hidden="false" customHeight="false" outlineLevel="0" collapsed="false">
      <c r="A93" s="9" t="s">
        <v>675</v>
      </c>
      <c r="B93" s="10" t="s">
        <v>676</v>
      </c>
      <c r="C93" s="9" t="s">
        <v>644</v>
      </c>
      <c r="D93" s="9" t="s">
        <v>645</v>
      </c>
      <c r="E93" s="9" t="s">
        <v>646</v>
      </c>
      <c r="F93" s="9" t="s">
        <v>144</v>
      </c>
      <c r="G93" s="10" t="s">
        <v>677</v>
      </c>
      <c r="H93" s="11" t="s">
        <v>678</v>
      </c>
      <c r="I93" s="10" t="s">
        <v>649</v>
      </c>
      <c r="J93" s="9" t="s">
        <v>430</v>
      </c>
      <c r="K93" s="9" t="s">
        <v>474</v>
      </c>
      <c r="L93" s="10" t="s">
        <v>650</v>
      </c>
      <c r="M93" s="9" t="s">
        <v>651</v>
      </c>
      <c r="N93" s="9"/>
      <c r="O93" s="9"/>
      <c r="P93" s="9"/>
      <c r="Q93" s="9" t="s">
        <v>327</v>
      </c>
      <c r="R93" s="9" t="s">
        <v>90</v>
      </c>
      <c r="S93" s="9" t="s">
        <v>91</v>
      </c>
      <c r="T93" s="12" t="n">
        <v>46324</v>
      </c>
      <c r="U93" s="10" t="s">
        <v>679</v>
      </c>
    </row>
    <row r="94" customFormat="false" ht="35.05" hidden="false" customHeight="false" outlineLevel="0" collapsed="false">
      <c r="A94" s="9" t="s">
        <v>680</v>
      </c>
      <c r="B94" s="10" t="s">
        <v>681</v>
      </c>
      <c r="C94" s="9" t="s">
        <v>644</v>
      </c>
      <c r="D94" s="9" t="s">
        <v>645</v>
      </c>
      <c r="E94" s="9" t="s">
        <v>646</v>
      </c>
      <c r="F94" s="9" t="s">
        <v>682</v>
      </c>
      <c r="G94" s="10" t="s">
        <v>683</v>
      </c>
      <c r="H94" s="11" t="s">
        <v>684</v>
      </c>
      <c r="I94" s="10" t="s">
        <v>649</v>
      </c>
      <c r="J94" s="9" t="s">
        <v>430</v>
      </c>
      <c r="K94" s="9" t="s">
        <v>474</v>
      </c>
      <c r="L94" s="10" t="s">
        <v>685</v>
      </c>
      <c r="M94" s="9" t="s">
        <v>651</v>
      </c>
      <c r="N94" s="9"/>
      <c r="O94" s="9"/>
      <c r="P94" s="9"/>
      <c r="Q94" s="9" t="s">
        <v>327</v>
      </c>
      <c r="R94" s="9" t="s">
        <v>90</v>
      </c>
      <c r="S94" s="9" t="s">
        <v>91</v>
      </c>
      <c r="T94" s="12" t="n">
        <v>46324</v>
      </c>
      <c r="U94" s="10" t="s">
        <v>686</v>
      </c>
    </row>
    <row r="95" customFormat="false" ht="35.05" hidden="false" customHeight="false" outlineLevel="0" collapsed="false">
      <c r="A95" s="9" t="s">
        <v>687</v>
      </c>
      <c r="B95" s="10" t="s">
        <v>688</v>
      </c>
      <c r="C95" s="9" t="s">
        <v>644</v>
      </c>
      <c r="D95" s="9" t="s">
        <v>645</v>
      </c>
      <c r="E95" s="9" t="s">
        <v>646</v>
      </c>
      <c r="F95" s="9" t="s">
        <v>82</v>
      </c>
      <c r="G95" s="10" t="s">
        <v>689</v>
      </c>
      <c r="H95" s="11" t="s">
        <v>690</v>
      </c>
      <c r="I95" s="10" t="s">
        <v>649</v>
      </c>
      <c r="J95" s="9" t="s">
        <v>430</v>
      </c>
      <c r="K95" s="9" t="s">
        <v>482</v>
      </c>
      <c r="L95" s="10" t="s">
        <v>691</v>
      </c>
      <c r="M95" s="9" t="s">
        <v>88</v>
      </c>
      <c r="N95" s="9"/>
      <c r="O95" s="9"/>
      <c r="P95" s="9"/>
      <c r="Q95" s="9" t="s">
        <v>327</v>
      </c>
      <c r="R95" s="9" t="s">
        <v>90</v>
      </c>
      <c r="S95" s="9" t="s">
        <v>91</v>
      </c>
      <c r="T95" s="12" t="n">
        <v>46324</v>
      </c>
      <c r="U95" s="10" t="s">
        <v>692</v>
      </c>
    </row>
    <row r="96" customFormat="false" ht="35.05" hidden="false" customHeight="false" outlineLevel="0" collapsed="false">
      <c r="A96" s="9" t="s">
        <v>693</v>
      </c>
      <c r="B96" s="10" t="s">
        <v>694</v>
      </c>
      <c r="C96" s="9" t="s">
        <v>644</v>
      </c>
      <c r="D96" s="9" t="s">
        <v>645</v>
      </c>
      <c r="E96" s="9" t="s">
        <v>646</v>
      </c>
      <c r="F96" s="9" t="s">
        <v>138</v>
      </c>
      <c r="G96" s="10" t="s">
        <v>695</v>
      </c>
      <c r="H96" s="11" t="s">
        <v>696</v>
      </c>
      <c r="I96" s="10" t="s">
        <v>649</v>
      </c>
      <c r="J96" s="9" t="s">
        <v>148</v>
      </c>
      <c r="K96" s="9" t="s">
        <v>482</v>
      </c>
      <c r="L96" s="10" t="s">
        <v>697</v>
      </c>
      <c r="M96" s="9" t="s">
        <v>88</v>
      </c>
      <c r="N96" s="9"/>
      <c r="O96" s="9"/>
      <c r="P96" s="9"/>
      <c r="Q96" s="9" t="s">
        <v>327</v>
      </c>
      <c r="R96" s="9" t="s">
        <v>90</v>
      </c>
      <c r="S96" s="9" t="s">
        <v>91</v>
      </c>
      <c r="T96" s="12" t="n">
        <v>46324</v>
      </c>
      <c r="U96" s="10" t="s">
        <v>698</v>
      </c>
    </row>
    <row r="97" customFormat="false" ht="46.25" hidden="false" customHeight="false" outlineLevel="0" collapsed="false">
      <c r="A97" s="9" t="s">
        <v>699</v>
      </c>
      <c r="B97" s="10" t="s">
        <v>700</v>
      </c>
      <c r="C97" s="9" t="s">
        <v>644</v>
      </c>
      <c r="D97" s="9" t="s">
        <v>645</v>
      </c>
      <c r="E97" s="9" t="s">
        <v>646</v>
      </c>
      <c r="F97" s="9" t="s">
        <v>144</v>
      </c>
      <c r="G97" s="10" t="s">
        <v>701</v>
      </c>
      <c r="H97" s="11" t="s">
        <v>702</v>
      </c>
      <c r="I97" s="10" t="s">
        <v>625</v>
      </c>
      <c r="J97" s="9" t="s">
        <v>430</v>
      </c>
      <c r="K97" s="9" t="s">
        <v>474</v>
      </c>
      <c r="L97" s="10" t="s">
        <v>703</v>
      </c>
      <c r="M97" s="9" t="s">
        <v>651</v>
      </c>
      <c r="N97" s="9"/>
      <c r="O97" s="9"/>
      <c r="P97" s="9"/>
      <c r="Q97" s="9" t="s">
        <v>327</v>
      </c>
      <c r="R97" s="9" t="s">
        <v>90</v>
      </c>
      <c r="S97" s="9" t="s">
        <v>91</v>
      </c>
      <c r="T97" s="12" t="n">
        <v>46324</v>
      </c>
      <c r="U97" s="10" t="s">
        <v>704</v>
      </c>
    </row>
    <row r="98" customFormat="false" ht="35.05" hidden="false" customHeight="false" outlineLevel="0" collapsed="false">
      <c r="A98" s="9" t="s">
        <v>705</v>
      </c>
      <c r="B98" s="10" t="s">
        <v>706</v>
      </c>
      <c r="C98" s="9" t="s">
        <v>644</v>
      </c>
      <c r="D98" s="9" t="s">
        <v>645</v>
      </c>
      <c r="E98" s="9" t="s">
        <v>646</v>
      </c>
      <c r="F98" s="9" t="s">
        <v>103</v>
      </c>
      <c r="G98" s="10" t="s">
        <v>707</v>
      </c>
      <c r="H98" s="11" t="s">
        <v>708</v>
      </c>
      <c r="I98" s="10" t="s">
        <v>625</v>
      </c>
      <c r="J98" s="9" t="s">
        <v>430</v>
      </c>
      <c r="K98" s="9" t="s">
        <v>482</v>
      </c>
      <c r="L98" s="10" t="s">
        <v>703</v>
      </c>
      <c r="M98" s="9" t="s">
        <v>651</v>
      </c>
      <c r="N98" s="9"/>
      <c r="O98" s="9"/>
      <c r="P98" s="9"/>
      <c r="Q98" s="9" t="s">
        <v>327</v>
      </c>
      <c r="R98" s="9" t="s">
        <v>90</v>
      </c>
      <c r="S98" s="9" t="s">
        <v>91</v>
      </c>
      <c r="T98" s="12" t="n">
        <v>46324</v>
      </c>
      <c r="U98" s="10" t="s">
        <v>709</v>
      </c>
    </row>
    <row r="99" customFormat="false" ht="35.05" hidden="false" customHeight="false" outlineLevel="0" collapsed="false">
      <c r="A99" s="9" t="s">
        <v>710</v>
      </c>
      <c r="B99" s="10" t="s">
        <v>711</v>
      </c>
      <c r="C99" s="9" t="s">
        <v>644</v>
      </c>
      <c r="D99" s="9" t="s">
        <v>645</v>
      </c>
      <c r="E99" s="9" t="s">
        <v>646</v>
      </c>
      <c r="F99" s="9" t="s">
        <v>103</v>
      </c>
      <c r="G99" s="10" t="s">
        <v>712</v>
      </c>
      <c r="H99" s="11" t="s">
        <v>713</v>
      </c>
      <c r="I99" s="10" t="s">
        <v>625</v>
      </c>
      <c r="J99" s="9" t="s">
        <v>430</v>
      </c>
      <c r="K99" s="9" t="s">
        <v>482</v>
      </c>
      <c r="L99" s="10" t="s">
        <v>703</v>
      </c>
      <c r="M99" s="9" t="s">
        <v>651</v>
      </c>
      <c r="N99" s="9"/>
      <c r="O99" s="9"/>
      <c r="P99" s="9"/>
      <c r="Q99" s="9" t="s">
        <v>327</v>
      </c>
      <c r="R99" s="9" t="s">
        <v>90</v>
      </c>
      <c r="S99" s="9" t="s">
        <v>91</v>
      </c>
      <c r="T99" s="12" t="n">
        <v>46324</v>
      </c>
      <c r="U99" s="10" t="s">
        <v>714</v>
      </c>
    </row>
    <row r="100" customFormat="false" ht="35.05" hidden="false" customHeight="false" outlineLevel="0" collapsed="false">
      <c r="A100" s="9" t="s">
        <v>715</v>
      </c>
      <c r="B100" s="10" t="s">
        <v>716</v>
      </c>
      <c r="C100" s="9" t="s">
        <v>644</v>
      </c>
      <c r="D100" s="9" t="s">
        <v>645</v>
      </c>
      <c r="E100" s="9" t="s">
        <v>646</v>
      </c>
      <c r="F100" s="9" t="s">
        <v>103</v>
      </c>
      <c r="G100" s="10" t="s">
        <v>717</v>
      </c>
      <c r="H100" s="11" t="s">
        <v>718</v>
      </c>
      <c r="I100" s="10" t="s">
        <v>625</v>
      </c>
      <c r="J100" s="9" t="s">
        <v>430</v>
      </c>
      <c r="K100" s="9" t="s">
        <v>474</v>
      </c>
      <c r="L100" s="10" t="s">
        <v>703</v>
      </c>
      <c r="M100" s="9" t="s">
        <v>651</v>
      </c>
      <c r="N100" s="9"/>
      <c r="O100" s="9"/>
      <c r="P100" s="9"/>
      <c r="Q100" s="9" t="s">
        <v>327</v>
      </c>
      <c r="R100" s="9" t="s">
        <v>90</v>
      </c>
      <c r="S100" s="9" t="s">
        <v>91</v>
      </c>
      <c r="T100" s="12" t="n">
        <v>46324</v>
      </c>
      <c r="U100" s="10" t="s">
        <v>719</v>
      </c>
    </row>
    <row r="101" customFormat="false" ht="35.05" hidden="false" customHeight="false" outlineLevel="0" collapsed="false">
      <c r="A101" s="9" t="s">
        <v>720</v>
      </c>
      <c r="B101" s="10" t="s">
        <v>721</v>
      </c>
      <c r="C101" s="9" t="s">
        <v>644</v>
      </c>
      <c r="D101" s="9" t="s">
        <v>645</v>
      </c>
      <c r="E101" s="9" t="s">
        <v>646</v>
      </c>
      <c r="F101" s="9" t="s">
        <v>561</v>
      </c>
      <c r="G101" s="10" t="s">
        <v>722</v>
      </c>
      <c r="H101" s="11" t="s">
        <v>723</v>
      </c>
      <c r="I101" s="10" t="s">
        <v>625</v>
      </c>
      <c r="J101" s="9" t="s">
        <v>430</v>
      </c>
      <c r="K101" s="9" t="s">
        <v>482</v>
      </c>
      <c r="L101" s="10" t="s">
        <v>724</v>
      </c>
      <c r="M101" s="9" t="s">
        <v>651</v>
      </c>
      <c r="N101" s="9"/>
      <c r="O101" s="9"/>
      <c r="P101" s="9"/>
      <c r="Q101" s="9" t="s">
        <v>327</v>
      </c>
      <c r="R101" s="9" t="s">
        <v>90</v>
      </c>
      <c r="S101" s="9" t="s">
        <v>91</v>
      </c>
      <c r="T101" s="12" t="n">
        <v>46324</v>
      </c>
      <c r="U101" s="10" t="s">
        <v>725</v>
      </c>
    </row>
    <row r="102" customFormat="false" ht="35.05" hidden="false" customHeight="false" outlineLevel="0" collapsed="false">
      <c r="A102" s="9" t="s">
        <v>726</v>
      </c>
      <c r="B102" s="10" t="s">
        <v>727</v>
      </c>
      <c r="C102" s="9" t="s">
        <v>644</v>
      </c>
      <c r="D102" s="9" t="s">
        <v>645</v>
      </c>
      <c r="E102" s="9" t="s">
        <v>646</v>
      </c>
      <c r="F102" s="9" t="s">
        <v>561</v>
      </c>
      <c r="G102" s="10" t="s">
        <v>728</v>
      </c>
      <c r="H102" s="11" t="s">
        <v>729</v>
      </c>
      <c r="I102" s="10" t="s">
        <v>625</v>
      </c>
      <c r="J102" s="9" t="s">
        <v>430</v>
      </c>
      <c r="K102" s="9" t="s">
        <v>482</v>
      </c>
      <c r="L102" s="10" t="s">
        <v>724</v>
      </c>
      <c r="M102" s="9" t="s">
        <v>651</v>
      </c>
      <c r="N102" s="9"/>
      <c r="O102" s="9"/>
      <c r="P102" s="9"/>
      <c r="Q102" s="9" t="s">
        <v>327</v>
      </c>
      <c r="R102" s="9" t="s">
        <v>90</v>
      </c>
      <c r="S102" s="9" t="s">
        <v>91</v>
      </c>
      <c r="T102" s="12" t="n">
        <v>46324</v>
      </c>
      <c r="U102" s="10" t="s">
        <v>730</v>
      </c>
    </row>
    <row r="103" customFormat="false" ht="46.25" hidden="false" customHeight="false" outlineLevel="0" collapsed="false">
      <c r="A103" s="9" t="s">
        <v>731</v>
      </c>
      <c r="B103" s="10" t="s">
        <v>732</v>
      </c>
      <c r="C103" s="9" t="s">
        <v>644</v>
      </c>
      <c r="D103" s="9" t="s">
        <v>645</v>
      </c>
      <c r="E103" s="9" t="s">
        <v>646</v>
      </c>
      <c r="F103" s="9" t="s">
        <v>561</v>
      </c>
      <c r="G103" s="10" t="s">
        <v>733</v>
      </c>
      <c r="H103" s="11" t="s">
        <v>734</v>
      </c>
      <c r="I103" s="10" t="s">
        <v>625</v>
      </c>
      <c r="J103" s="9" t="s">
        <v>430</v>
      </c>
      <c r="K103" s="9" t="s">
        <v>482</v>
      </c>
      <c r="L103" s="10" t="s">
        <v>724</v>
      </c>
      <c r="M103" s="9" t="s">
        <v>651</v>
      </c>
      <c r="N103" s="9"/>
      <c r="O103" s="9"/>
      <c r="P103" s="9"/>
      <c r="Q103" s="9" t="s">
        <v>327</v>
      </c>
      <c r="R103" s="9" t="s">
        <v>90</v>
      </c>
      <c r="S103" s="9" t="s">
        <v>91</v>
      </c>
      <c r="T103" s="12" t="n">
        <v>46324</v>
      </c>
      <c r="U103" s="10" t="s">
        <v>735</v>
      </c>
    </row>
    <row r="104" customFormat="false" ht="35.05" hidden="false" customHeight="false" outlineLevel="0" collapsed="false">
      <c r="A104" s="9" t="s">
        <v>736</v>
      </c>
      <c r="B104" s="10" t="s">
        <v>737</v>
      </c>
      <c r="C104" s="9" t="s">
        <v>644</v>
      </c>
      <c r="D104" s="9" t="s">
        <v>645</v>
      </c>
      <c r="E104" s="9" t="s">
        <v>646</v>
      </c>
      <c r="F104" s="9" t="s">
        <v>103</v>
      </c>
      <c r="G104" s="10" t="s">
        <v>738</v>
      </c>
      <c r="H104" s="11" t="s">
        <v>739</v>
      </c>
      <c r="I104" s="10" t="s">
        <v>740</v>
      </c>
      <c r="J104" s="9" t="s">
        <v>430</v>
      </c>
      <c r="K104" s="9" t="s">
        <v>523</v>
      </c>
      <c r="L104" s="10" t="s">
        <v>741</v>
      </c>
      <c r="M104" s="9" t="s">
        <v>742</v>
      </c>
      <c r="N104" s="9"/>
      <c r="O104" s="9"/>
      <c r="P104" s="9"/>
      <c r="Q104" s="9" t="s">
        <v>327</v>
      </c>
      <c r="R104" s="9" t="s">
        <v>90</v>
      </c>
      <c r="S104" s="9" t="s">
        <v>91</v>
      </c>
      <c r="T104" s="12" t="n">
        <v>46324</v>
      </c>
      <c r="U104" s="10" t="s">
        <v>743</v>
      </c>
    </row>
    <row r="105" customFormat="false" ht="35.05" hidden="false" customHeight="false" outlineLevel="0" collapsed="false">
      <c r="A105" s="9" t="s">
        <v>744</v>
      </c>
      <c r="B105" s="10" t="s">
        <v>745</v>
      </c>
      <c r="C105" s="9" t="s">
        <v>644</v>
      </c>
      <c r="D105" s="9" t="s">
        <v>645</v>
      </c>
      <c r="E105" s="9" t="s">
        <v>646</v>
      </c>
      <c r="F105" s="9" t="s">
        <v>103</v>
      </c>
      <c r="G105" s="10" t="s">
        <v>746</v>
      </c>
      <c r="H105" s="11" t="s">
        <v>747</v>
      </c>
      <c r="I105" s="10" t="s">
        <v>740</v>
      </c>
      <c r="J105" s="9" t="s">
        <v>430</v>
      </c>
      <c r="K105" s="9" t="s">
        <v>482</v>
      </c>
      <c r="L105" s="10" t="s">
        <v>748</v>
      </c>
      <c r="M105" s="9" t="s">
        <v>742</v>
      </c>
      <c r="N105" s="9"/>
      <c r="O105" s="9"/>
      <c r="P105" s="9"/>
      <c r="Q105" s="9" t="s">
        <v>327</v>
      </c>
      <c r="R105" s="9" t="s">
        <v>90</v>
      </c>
      <c r="S105" s="9" t="s">
        <v>91</v>
      </c>
      <c r="T105" s="12" t="n">
        <v>46324</v>
      </c>
      <c r="U105" s="10" t="s">
        <v>749</v>
      </c>
    </row>
    <row r="106" customFormat="false" ht="35.05" hidden="false" customHeight="false" outlineLevel="0" collapsed="false">
      <c r="A106" s="9" t="s">
        <v>750</v>
      </c>
      <c r="B106" s="10" t="s">
        <v>751</v>
      </c>
      <c r="C106" s="9" t="s">
        <v>644</v>
      </c>
      <c r="D106" s="9" t="s">
        <v>645</v>
      </c>
      <c r="E106" s="9" t="s">
        <v>646</v>
      </c>
      <c r="F106" s="9" t="s">
        <v>752</v>
      </c>
      <c r="G106" s="10" t="s">
        <v>753</v>
      </c>
      <c r="H106" s="11" t="s">
        <v>754</v>
      </c>
      <c r="I106" s="10" t="s">
        <v>740</v>
      </c>
      <c r="J106" s="9" t="s">
        <v>430</v>
      </c>
      <c r="K106" s="9" t="s">
        <v>482</v>
      </c>
      <c r="L106" s="10" t="s">
        <v>755</v>
      </c>
      <c r="M106" s="9" t="s">
        <v>742</v>
      </c>
      <c r="N106" s="9"/>
      <c r="O106" s="9"/>
      <c r="P106" s="9"/>
      <c r="Q106" s="9" t="s">
        <v>327</v>
      </c>
      <c r="R106" s="9" t="s">
        <v>90</v>
      </c>
      <c r="S106" s="9" t="s">
        <v>91</v>
      </c>
      <c r="T106" s="12" t="n">
        <v>46324</v>
      </c>
      <c r="U106" s="10" t="s">
        <v>756</v>
      </c>
    </row>
    <row r="107" customFormat="false" ht="35.05" hidden="false" customHeight="false" outlineLevel="0" collapsed="false">
      <c r="A107" s="9" t="s">
        <v>757</v>
      </c>
      <c r="B107" s="10" t="s">
        <v>758</v>
      </c>
      <c r="C107" s="9" t="s">
        <v>644</v>
      </c>
      <c r="D107" s="9" t="s">
        <v>645</v>
      </c>
      <c r="E107" s="9" t="s">
        <v>646</v>
      </c>
      <c r="F107" s="9" t="s">
        <v>103</v>
      </c>
      <c r="G107" s="10" t="s">
        <v>759</v>
      </c>
      <c r="H107" s="11" t="s">
        <v>760</v>
      </c>
      <c r="I107" s="10" t="s">
        <v>740</v>
      </c>
      <c r="J107" s="9" t="s">
        <v>430</v>
      </c>
      <c r="K107" s="9" t="s">
        <v>474</v>
      </c>
      <c r="L107" s="10" t="s">
        <v>755</v>
      </c>
      <c r="M107" s="9" t="s">
        <v>742</v>
      </c>
      <c r="N107" s="9"/>
      <c r="O107" s="9"/>
      <c r="P107" s="9"/>
      <c r="Q107" s="9" t="s">
        <v>327</v>
      </c>
      <c r="R107" s="9" t="s">
        <v>90</v>
      </c>
      <c r="S107" s="9" t="s">
        <v>91</v>
      </c>
      <c r="T107" s="12" t="n">
        <v>46324</v>
      </c>
      <c r="U107" s="10" t="s">
        <v>761</v>
      </c>
    </row>
    <row r="108" customFormat="false" ht="46.25" hidden="false" customHeight="false" outlineLevel="0" collapsed="false">
      <c r="A108" s="9" t="s">
        <v>762</v>
      </c>
      <c r="B108" s="10" t="s">
        <v>763</v>
      </c>
      <c r="C108" s="9" t="s">
        <v>644</v>
      </c>
      <c r="D108" s="9" t="s">
        <v>645</v>
      </c>
      <c r="E108" s="9" t="s">
        <v>646</v>
      </c>
      <c r="F108" s="9" t="s">
        <v>103</v>
      </c>
      <c r="G108" s="10" t="s">
        <v>764</v>
      </c>
      <c r="H108" s="11" t="s">
        <v>765</v>
      </c>
      <c r="I108" s="10" t="s">
        <v>766</v>
      </c>
      <c r="J108" s="9" t="s">
        <v>430</v>
      </c>
      <c r="K108" s="9" t="s">
        <v>523</v>
      </c>
      <c r="L108" s="10" t="s">
        <v>767</v>
      </c>
      <c r="M108" s="9" t="s">
        <v>651</v>
      </c>
      <c r="N108" s="9"/>
      <c r="O108" s="9"/>
      <c r="P108" s="9"/>
      <c r="Q108" s="9" t="s">
        <v>327</v>
      </c>
      <c r="R108" s="9" t="s">
        <v>90</v>
      </c>
      <c r="S108" s="9" t="s">
        <v>91</v>
      </c>
      <c r="T108" s="12" t="n">
        <v>46324</v>
      </c>
      <c r="U108" s="10" t="s">
        <v>768</v>
      </c>
    </row>
    <row r="109" customFormat="false" ht="57.45" hidden="false" customHeight="false" outlineLevel="0" collapsed="false">
      <c r="A109" s="9" t="s">
        <v>769</v>
      </c>
      <c r="B109" s="10" t="s">
        <v>770</v>
      </c>
      <c r="C109" s="9" t="s">
        <v>644</v>
      </c>
      <c r="D109" s="9" t="s">
        <v>645</v>
      </c>
      <c r="E109" s="9" t="s">
        <v>646</v>
      </c>
      <c r="F109" s="9" t="s">
        <v>103</v>
      </c>
      <c r="G109" s="10" t="s">
        <v>771</v>
      </c>
      <c r="H109" s="11" t="s">
        <v>772</v>
      </c>
      <c r="I109" s="10" t="s">
        <v>766</v>
      </c>
      <c r="J109" s="9" t="s">
        <v>430</v>
      </c>
      <c r="K109" s="9" t="s">
        <v>474</v>
      </c>
      <c r="L109" s="10" t="s">
        <v>767</v>
      </c>
      <c r="M109" s="9" t="s">
        <v>651</v>
      </c>
      <c r="N109" s="9"/>
      <c r="O109" s="9"/>
      <c r="P109" s="9"/>
      <c r="Q109" s="9" t="s">
        <v>327</v>
      </c>
      <c r="R109" s="9" t="s">
        <v>90</v>
      </c>
      <c r="S109" s="9" t="s">
        <v>91</v>
      </c>
      <c r="T109" s="12" t="n">
        <v>46324</v>
      </c>
      <c r="U109" s="10" t="s">
        <v>773</v>
      </c>
    </row>
    <row r="110" customFormat="false" ht="35.05" hidden="false" customHeight="false" outlineLevel="0" collapsed="false">
      <c r="A110" s="9" t="s">
        <v>774</v>
      </c>
      <c r="B110" s="10" t="s">
        <v>775</v>
      </c>
      <c r="C110" s="9" t="s">
        <v>644</v>
      </c>
      <c r="D110" s="9" t="s">
        <v>645</v>
      </c>
      <c r="E110" s="9" t="s">
        <v>646</v>
      </c>
      <c r="F110" s="9" t="s">
        <v>103</v>
      </c>
      <c r="G110" s="10" t="s">
        <v>776</v>
      </c>
      <c r="H110" s="11" t="s">
        <v>777</v>
      </c>
      <c r="I110" s="10" t="s">
        <v>766</v>
      </c>
      <c r="J110" s="9" t="s">
        <v>430</v>
      </c>
      <c r="K110" s="9" t="s">
        <v>482</v>
      </c>
      <c r="L110" s="10" t="s">
        <v>778</v>
      </c>
      <c r="M110" s="9" t="s">
        <v>651</v>
      </c>
      <c r="N110" s="9"/>
      <c r="O110" s="9"/>
      <c r="P110" s="9"/>
      <c r="Q110" s="9" t="s">
        <v>327</v>
      </c>
      <c r="R110" s="9" t="s">
        <v>90</v>
      </c>
      <c r="S110" s="9" t="s">
        <v>91</v>
      </c>
      <c r="T110" s="12" t="n">
        <v>46324</v>
      </c>
      <c r="U110" s="10" t="s">
        <v>779</v>
      </c>
    </row>
    <row r="111" customFormat="false" ht="46.25" hidden="false" customHeight="false" outlineLevel="0" collapsed="false">
      <c r="A111" s="9" t="s">
        <v>780</v>
      </c>
      <c r="B111" s="10" t="s">
        <v>781</v>
      </c>
      <c r="C111" s="9" t="s">
        <v>644</v>
      </c>
      <c r="D111" s="9" t="s">
        <v>645</v>
      </c>
      <c r="E111" s="9" t="s">
        <v>646</v>
      </c>
      <c r="F111" s="9" t="s">
        <v>103</v>
      </c>
      <c r="G111" s="10" t="s">
        <v>782</v>
      </c>
      <c r="H111" s="11" t="s">
        <v>783</v>
      </c>
      <c r="I111" s="10" t="s">
        <v>784</v>
      </c>
      <c r="J111" s="9" t="s">
        <v>430</v>
      </c>
      <c r="K111" s="9" t="s">
        <v>474</v>
      </c>
      <c r="L111" s="10" t="s">
        <v>785</v>
      </c>
      <c r="M111" s="9" t="s">
        <v>651</v>
      </c>
      <c r="N111" s="9"/>
      <c r="O111" s="9"/>
      <c r="P111" s="9"/>
      <c r="Q111" s="9" t="s">
        <v>327</v>
      </c>
      <c r="R111" s="9" t="s">
        <v>90</v>
      </c>
      <c r="S111" s="9" t="s">
        <v>91</v>
      </c>
      <c r="T111" s="12" t="n">
        <v>46324</v>
      </c>
      <c r="U111" s="10" t="s">
        <v>786</v>
      </c>
    </row>
    <row r="112" customFormat="false" ht="46.25" hidden="false" customHeight="false" outlineLevel="0" collapsed="false">
      <c r="A112" s="9" t="s">
        <v>787</v>
      </c>
      <c r="B112" s="10" t="s">
        <v>788</v>
      </c>
      <c r="C112" s="9" t="s">
        <v>644</v>
      </c>
      <c r="D112" s="9" t="s">
        <v>645</v>
      </c>
      <c r="E112" s="9" t="s">
        <v>646</v>
      </c>
      <c r="F112" s="9" t="s">
        <v>103</v>
      </c>
      <c r="G112" s="10" t="s">
        <v>789</v>
      </c>
      <c r="H112" s="11" t="s">
        <v>790</v>
      </c>
      <c r="I112" s="10" t="s">
        <v>791</v>
      </c>
      <c r="J112" s="9" t="s">
        <v>430</v>
      </c>
      <c r="K112" s="9" t="s">
        <v>474</v>
      </c>
      <c r="L112" s="10" t="s">
        <v>785</v>
      </c>
      <c r="M112" s="9" t="s">
        <v>651</v>
      </c>
      <c r="N112" s="9"/>
      <c r="O112" s="9"/>
      <c r="P112" s="9"/>
      <c r="Q112" s="9" t="s">
        <v>327</v>
      </c>
      <c r="R112" s="9" t="s">
        <v>90</v>
      </c>
      <c r="S112" s="9" t="s">
        <v>91</v>
      </c>
      <c r="T112" s="12" t="n">
        <v>46324</v>
      </c>
      <c r="U112" s="10" t="s">
        <v>792</v>
      </c>
    </row>
    <row r="113" customFormat="false" ht="46.25" hidden="false" customHeight="false" outlineLevel="0" collapsed="false">
      <c r="A113" s="9" t="s">
        <v>793</v>
      </c>
      <c r="B113" s="10" t="s">
        <v>794</v>
      </c>
      <c r="C113" s="9" t="s">
        <v>644</v>
      </c>
      <c r="D113" s="9" t="s">
        <v>645</v>
      </c>
      <c r="E113" s="9" t="s">
        <v>646</v>
      </c>
      <c r="F113" s="9" t="s">
        <v>103</v>
      </c>
      <c r="G113" s="10" t="s">
        <v>795</v>
      </c>
      <c r="H113" s="11" t="s">
        <v>796</v>
      </c>
      <c r="I113" s="10" t="s">
        <v>797</v>
      </c>
      <c r="J113" s="9" t="s">
        <v>430</v>
      </c>
      <c r="K113" s="9" t="s">
        <v>482</v>
      </c>
      <c r="L113" s="10" t="s">
        <v>798</v>
      </c>
      <c r="M113" s="9" t="s">
        <v>88</v>
      </c>
      <c r="N113" s="9"/>
      <c r="O113" s="9"/>
      <c r="P113" s="9"/>
      <c r="Q113" s="9" t="s">
        <v>327</v>
      </c>
      <c r="R113" s="9" t="s">
        <v>90</v>
      </c>
      <c r="S113" s="9" t="s">
        <v>91</v>
      </c>
      <c r="T113" s="12" t="n">
        <v>46324</v>
      </c>
      <c r="U113" s="10" t="s">
        <v>799</v>
      </c>
    </row>
    <row r="114" customFormat="false" ht="46.25" hidden="false" customHeight="false" outlineLevel="0" collapsed="false">
      <c r="A114" s="9" t="s">
        <v>800</v>
      </c>
      <c r="B114" s="10" t="s">
        <v>801</v>
      </c>
      <c r="C114" s="9" t="s">
        <v>644</v>
      </c>
      <c r="D114" s="9" t="s">
        <v>645</v>
      </c>
      <c r="E114" s="9" t="s">
        <v>646</v>
      </c>
      <c r="F114" s="9" t="s">
        <v>103</v>
      </c>
      <c r="G114" s="10" t="s">
        <v>802</v>
      </c>
      <c r="H114" s="11" t="s">
        <v>803</v>
      </c>
      <c r="I114" s="10" t="s">
        <v>804</v>
      </c>
      <c r="J114" s="9" t="s">
        <v>430</v>
      </c>
      <c r="K114" s="9" t="s">
        <v>474</v>
      </c>
      <c r="L114" s="10" t="s">
        <v>785</v>
      </c>
      <c r="M114" s="9" t="s">
        <v>651</v>
      </c>
      <c r="N114" s="9"/>
      <c r="O114" s="9"/>
      <c r="P114" s="9"/>
      <c r="Q114" s="9" t="s">
        <v>327</v>
      </c>
      <c r="R114" s="9" t="s">
        <v>90</v>
      </c>
      <c r="S114" s="9" t="s">
        <v>91</v>
      </c>
      <c r="T114" s="12" t="n">
        <v>46324</v>
      </c>
      <c r="U114" s="10" t="s">
        <v>805</v>
      </c>
    </row>
    <row r="115" customFormat="false" ht="46.25" hidden="false" customHeight="false" outlineLevel="0" collapsed="false">
      <c r="A115" s="9" t="s">
        <v>806</v>
      </c>
      <c r="B115" s="10" t="s">
        <v>807</v>
      </c>
      <c r="C115" s="9" t="s">
        <v>644</v>
      </c>
      <c r="D115" s="9" t="s">
        <v>645</v>
      </c>
      <c r="E115" s="9" t="s">
        <v>646</v>
      </c>
      <c r="F115" s="9" t="s">
        <v>144</v>
      </c>
      <c r="G115" s="10" t="s">
        <v>808</v>
      </c>
      <c r="H115" s="11" t="s">
        <v>809</v>
      </c>
      <c r="I115" s="10" t="s">
        <v>804</v>
      </c>
      <c r="J115" s="9" t="s">
        <v>430</v>
      </c>
      <c r="K115" s="9" t="s">
        <v>474</v>
      </c>
      <c r="L115" s="10" t="s">
        <v>785</v>
      </c>
      <c r="M115" s="9" t="s">
        <v>651</v>
      </c>
      <c r="N115" s="9"/>
      <c r="O115" s="9"/>
      <c r="P115" s="9"/>
      <c r="Q115" s="9" t="s">
        <v>327</v>
      </c>
      <c r="R115" s="9" t="s">
        <v>90</v>
      </c>
      <c r="S115" s="9" t="s">
        <v>91</v>
      </c>
      <c r="T115" s="12" t="n">
        <v>46324</v>
      </c>
      <c r="U115" s="10" t="s">
        <v>810</v>
      </c>
    </row>
    <row r="116" customFormat="false" ht="57.45" hidden="false" customHeight="false" outlineLevel="0" collapsed="false">
      <c r="A116" s="9" t="s">
        <v>811</v>
      </c>
      <c r="B116" s="10" t="s">
        <v>812</v>
      </c>
      <c r="C116" s="9" t="s">
        <v>644</v>
      </c>
      <c r="D116" s="9" t="s">
        <v>645</v>
      </c>
      <c r="E116" s="9" t="s">
        <v>646</v>
      </c>
      <c r="F116" s="9" t="s">
        <v>95</v>
      </c>
      <c r="G116" s="10" t="s">
        <v>813</v>
      </c>
      <c r="H116" s="11" t="s">
        <v>814</v>
      </c>
      <c r="I116" s="10" t="s">
        <v>804</v>
      </c>
      <c r="J116" s="9" t="s">
        <v>430</v>
      </c>
      <c r="K116" s="9" t="s">
        <v>474</v>
      </c>
      <c r="L116" s="10" t="s">
        <v>785</v>
      </c>
      <c r="M116" s="9" t="s">
        <v>651</v>
      </c>
      <c r="N116" s="9"/>
      <c r="O116" s="9"/>
      <c r="P116" s="9"/>
      <c r="Q116" s="9" t="s">
        <v>327</v>
      </c>
      <c r="R116" s="9" t="s">
        <v>90</v>
      </c>
      <c r="S116" s="9" t="s">
        <v>91</v>
      </c>
      <c r="T116" s="12" t="n">
        <v>46324</v>
      </c>
      <c r="U116" s="10" t="s">
        <v>815</v>
      </c>
    </row>
    <row r="117" customFormat="false" ht="57.45" hidden="false" customHeight="false" outlineLevel="0" collapsed="false">
      <c r="A117" s="9" t="s">
        <v>816</v>
      </c>
      <c r="B117" s="10" t="s">
        <v>817</v>
      </c>
      <c r="C117" s="9" t="s">
        <v>644</v>
      </c>
      <c r="D117" s="9" t="s">
        <v>645</v>
      </c>
      <c r="E117" s="9" t="s">
        <v>646</v>
      </c>
      <c r="F117" s="9" t="s">
        <v>818</v>
      </c>
      <c r="G117" s="10" t="s">
        <v>819</v>
      </c>
      <c r="H117" s="11" t="s">
        <v>820</v>
      </c>
      <c r="I117" s="10" t="s">
        <v>821</v>
      </c>
      <c r="J117" s="9" t="s">
        <v>430</v>
      </c>
      <c r="K117" s="9" t="s">
        <v>474</v>
      </c>
      <c r="L117" s="10" t="s">
        <v>822</v>
      </c>
      <c r="M117" s="9" t="s">
        <v>88</v>
      </c>
      <c r="N117" s="9"/>
      <c r="O117" s="9"/>
      <c r="P117" s="9"/>
      <c r="Q117" s="9" t="s">
        <v>327</v>
      </c>
      <c r="R117" s="9" t="s">
        <v>90</v>
      </c>
      <c r="S117" s="9" t="s">
        <v>91</v>
      </c>
      <c r="T117" s="12" t="n">
        <v>46324</v>
      </c>
      <c r="U117" s="10" t="s">
        <v>823</v>
      </c>
    </row>
    <row r="118" customFormat="false" ht="35.05" hidden="false" customHeight="false" outlineLevel="0" collapsed="false">
      <c r="A118" s="9" t="s">
        <v>824</v>
      </c>
      <c r="B118" s="10" t="s">
        <v>825</v>
      </c>
      <c r="C118" s="9" t="s">
        <v>826</v>
      </c>
      <c r="D118" s="9" t="s">
        <v>827</v>
      </c>
      <c r="E118" s="9" t="s">
        <v>828</v>
      </c>
      <c r="F118" s="9" t="s">
        <v>829</v>
      </c>
      <c r="G118" s="10" t="s">
        <v>830</v>
      </c>
      <c r="H118" s="11" t="s">
        <v>831</v>
      </c>
      <c r="I118" s="10" t="s">
        <v>825</v>
      </c>
      <c r="J118" s="9" t="s">
        <v>430</v>
      </c>
      <c r="K118" s="9" t="s">
        <v>458</v>
      </c>
      <c r="L118" s="10" t="s">
        <v>832</v>
      </c>
      <c r="M118" s="9" t="s">
        <v>88</v>
      </c>
      <c r="N118" s="9"/>
      <c r="O118" s="9"/>
      <c r="P118" s="9"/>
      <c r="Q118" s="9" t="s">
        <v>327</v>
      </c>
      <c r="R118" s="9" t="s">
        <v>833</v>
      </c>
      <c r="S118" s="9" t="s">
        <v>167</v>
      </c>
      <c r="T118" s="12" t="n">
        <v>46324</v>
      </c>
      <c r="U118" s="10" t="s">
        <v>834</v>
      </c>
    </row>
    <row r="119" customFormat="false" ht="35.05" hidden="false" customHeight="false" outlineLevel="0" collapsed="false">
      <c r="A119" s="9" t="s">
        <v>835</v>
      </c>
      <c r="B119" s="10" t="s">
        <v>836</v>
      </c>
      <c r="C119" s="9" t="s">
        <v>826</v>
      </c>
      <c r="D119" s="9" t="s">
        <v>827</v>
      </c>
      <c r="E119" s="9" t="s">
        <v>837</v>
      </c>
      <c r="F119" s="9" t="s">
        <v>103</v>
      </c>
      <c r="G119" s="10" t="s">
        <v>838</v>
      </c>
      <c r="H119" s="11" t="s">
        <v>839</v>
      </c>
      <c r="I119" s="10" t="s">
        <v>836</v>
      </c>
      <c r="J119" s="9" t="s">
        <v>430</v>
      </c>
      <c r="K119" s="9" t="s">
        <v>458</v>
      </c>
      <c r="L119" s="10" t="s">
        <v>607</v>
      </c>
      <c r="M119" s="9" t="s">
        <v>88</v>
      </c>
      <c r="N119" s="9"/>
      <c r="O119" s="9"/>
      <c r="P119" s="9"/>
      <c r="Q119" s="9" t="s">
        <v>327</v>
      </c>
      <c r="R119" s="9" t="s">
        <v>833</v>
      </c>
      <c r="S119" s="9" t="s">
        <v>91</v>
      </c>
      <c r="T119" s="12" t="n">
        <v>46324</v>
      </c>
      <c r="U119" s="10" t="s">
        <v>840</v>
      </c>
    </row>
    <row r="120" customFormat="false" ht="46.25" hidden="false" customHeight="false" outlineLevel="0" collapsed="false">
      <c r="A120" s="9" t="s">
        <v>841</v>
      </c>
      <c r="B120" s="10" t="s">
        <v>842</v>
      </c>
      <c r="C120" s="9" t="s">
        <v>826</v>
      </c>
      <c r="D120" s="9" t="s">
        <v>827</v>
      </c>
      <c r="E120" s="9" t="s">
        <v>828</v>
      </c>
      <c r="F120" s="9" t="s">
        <v>103</v>
      </c>
      <c r="G120" s="10" t="s">
        <v>843</v>
      </c>
      <c r="H120" s="11" t="s">
        <v>844</v>
      </c>
      <c r="I120" s="10" t="s">
        <v>180</v>
      </c>
      <c r="J120" s="9" t="s">
        <v>148</v>
      </c>
      <c r="K120" s="9" t="s">
        <v>458</v>
      </c>
      <c r="L120" s="10" t="s">
        <v>87</v>
      </c>
      <c r="M120" s="9" t="s">
        <v>845</v>
      </c>
      <c r="N120" s="9"/>
      <c r="O120" s="9"/>
      <c r="P120" s="9"/>
      <c r="Q120" s="9" t="s">
        <v>327</v>
      </c>
      <c r="R120" s="9" t="s">
        <v>833</v>
      </c>
      <c r="S120" s="9" t="s">
        <v>91</v>
      </c>
      <c r="T120" s="12" t="n">
        <v>46324</v>
      </c>
      <c r="U120" s="10" t="s">
        <v>846</v>
      </c>
    </row>
    <row r="121" customFormat="false" ht="35.05" hidden="false" customHeight="false" outlineLevel="0" collapsed="false">
      <c r="A121" s="9" t="s">
        <v>847</v>
      </c>
      <c r="B121" s="10" t="s">
        <v>848</v>
      </c>
      <c r="C121" s="9" t="s">
        <v>826</v>
      </c>
      <c r="D121" s="9" t="s">
        <v>827</v>
      </c>
      <c r="E121" s="9" t="s">
        <v>828</v>
      </c>
      <c r="F121" s="9" t="s">
        <v>440</v>
      </c>
      <c r="G121" s="10" t="s">
        <v>849</v>
      </c>
      <c r="H121" s="11" t="s">
        <v>850</v>
      </c>
      <c r="I121" s="10" t="s">
        <v>848</v>
      </c>
      <c r="J121" s="9" t="s">
        <v>430</v>
      </c>
      <c r="K121" s="9" t="s">
        <v>458</v>
      </c>
      <c r="L121" s="10" t="s">
        <v>851</v>
      </c>
      <c r="M121" s="9" t="s">
        <v>845</v>
      </c>
      <c r="N121" s="9"/>
      <c r="O121" s="9"/>
      <c r="P121" s="9"/>
      <c r="Q121" s="9" t="s">
        <v>327</v>
      </c>
      <c r="R121" s="9" t="s">
        <v>833</v>
      </c>
      <c r="S121" s="9" t="s">
        <v>91</v>
      </c>
      <c r="T121" s="12" t="n">
        <v>46324</v>
      </c>
      <c r="U121" s="10" t="s">
        <v>852</v>
      </c>
    </row>
    <row r="122" customFormat="false" ht="23.85" hidden="false" customHeight="false" outlineLevel="0" collapsed="false">
      <c r="A122" s="9" t="s">
        <v>853</v>
      </c>
      <c r="B122" s="10" t="s">
        <v>854</v>
      </c>
      <c r="C122" s="9" t="s">
        <v>826</v>
      </c>
      <c r="D122" s="9" t="s">
        <v>827</v>
      </c>
      <c r="E122" s="9" t="s">
        <v>837</v>
      </c>
      <c r="F122" s="9" t="s">
        <v>855</v>
      </c>
      <c r="G122" s="10" t="s">
        <v>856</v>
      </c>
      <c r="H122" s="11" t="s">
        <v>857</v>
      </c>
      <c r="I122" s="10" t="s">
        <v>858</v>
      </c>
      <c r="J122" s="9" t="s">
        <v>430</v>
      </c>
      <c r="K122" s="9" t="s">
        <v>458</v>
      </c>
      <c r="L122" s="10" t="s">
        <v>607</v>
      </c>
      <c r="M122" s="9" t="s">
        <v>88</v>
      </c>
      <c r="N122" s="9"/>
      <c r="O122" s="9"/>
      <c r="P122" s="9"/>
      <c r="Q122" s="9" t="s">
        <v>327</v>
      </c>
      <c r="R122" s="9" t="s">
        <v>833</v>
      </c>
      <c r="S122" s="9" t="s">
        <v>167</v>
      </c>
      <c r="T122" s="12" t="n">
        <v>46324</v>
      </c>
      <c r="U122" s="10" t="s">
        <v>859</v>
      </c>
    </row>
    <row r="123" customFormat="false" ht="23.85" hidden="false" customHeight="false" outlineLevel="0" collapsed="false">
      <c r="A123" s="9" t="s">
        <v>860</v>
      </c>
      <c r="B123" s="10" t="s">
        <v>861</v>
      </c>
      <c r="C123" s="9" t="s">
        <v>826</v>
      </c>
      <c r="D123" s="9" t="s">
        <v>827</v>
      </c>
      <c r="E123" s="9" t="s">
        <v>837</v>
      </c>
      <c r="F123" s="9" t="s">
        <v>862</v>
      </c>
      <c r="G123" s="10" t="s">
        <v>863</v>
      </c>
      <c r="H123" s="11" t="s">
        <v>864</v>
      </c>
      <c r="I123" s="10" t="s">
        <v>861</v>
      </c>
      <c r="J123" s="9" t="s">
        <v>430</v>
      </c>
      <c r="K123" s="9" t="s">
        <v>458</v>
      </c>
      <c r="L123" s="10" t="s">
        <v>785</v>
      </c>
      <c r="M123" s="9" t="s">
        <v>88</v>
      </c>
      <c r="N123" s="9"/>
      <c r="O123" s="9"/>
      <c r="P123" s="9"/>
      <c r="Q123" s="9" t="s">
        <v>327</v>
      </c>
      <c r="R123" s="9" t="s">
        <v>833</v>
      </c>
      <c r="S123" s="9" t="s">
        <v>167</v>
      </c>
      <c r="T123" s="12" t="n">
        <v>46324</v>
      </c>
      <c r="U123" s="10" t="s">
        <v>865</v>
      </c>
    </row>
    <row r="124" customFormat="false" ht="35.05" hidden="false" customHeight="false" outlineLevel="0" collapsed="false">
      <c r="A124" s="9" t="s">
        <v>866</v>
      </c>
      <c r="B124" s="10" t="s">
        <v>867</v>
      </c>
      <c r="C124" s="9" t="s">
        <v>826</v>
      </c>
      <c r="D124" s="9" t="s">
        <v>827</v>
      </c>
      <c r="E124" s="9" t="s">
        <v>837</v>
      </c>
      <c r="F124" s="9" t="s">
        <v>868</v>
      </c>
      <c r="G124" s="10" t="s">
        <v>869</v>
      </c>
      <c r="H124" s="11" t="s">
        <v>870</v>
      </c>
      <c r="I124" s="10" t="s">
        <v>871</v>
      </c>
      <c r="J124" s="9" t="s">
        <v>430</v>
      </c>
      <c r="K124" s="9" t="s">
        <v>474</v>
      </c>
      <c r="L124" s="10" t="s">
        <v>785</v>
      </c>
      <c r="M124" s="9" t="s">
        <v>88</v>
      </c>
      <c r="N124" s="9"/>
      <c r="O124" s="9"/>
      <c r="P124" s="9"/>
      <c r="Q124" s="9" t="s">
        <v>327</v>
      </c>
      <c r="R124" s="9" t="s">
        <v>833</v>
      </c>
      <c r="S124" s="9" t="s">
        <v>167</v>
      </c>
      <c r="T124" s="12" t="n">
        <v>46324</v>
      </c>
      <c r="U124" s="10" t="s">
        <v>872</v>
      </c>
    </row>
    <row r="125" customFormat="false" ht="35.05" hidden="false" customHeight="false" outlineLevel="0" collapsed="false">
      <c r="A125" s="9" t="s">
        <v>873</v>
      </c>
      <c r="B125" s="10" t="s">
        <v>874</v>
      </c>
      <c r="C125" s="9" t="s">
        <v>826</v>
      </c>
      <c r="D125" s="9" t="s">
        <v>827</v>
      </c>
      <c r="E125" s="9" t="s">
        <v>828</v>
      </c>
      <c r="F125" s="9" t="s">
        <v>103</v>
      </c>
      <c r="G125" s="10" t="s">
        <v>875</v>
      </c>
      <c r="H125" s="11" t="s">
        <v>876</v>
      </c>
      <c r="I125" s="10" t="s">
        <v>874</v>
      </c>
      <c r="J125" s="9" t="s">
        <v>148</v>
      </c>
      <c r="K125" s="9" t="s">
        <v>474</v>
      </c>
      <c r="L125" s="10" t="s">
        <v>785</v>
      </c>
      <c r="M125" s="9" t="s">
        <v>88</v>
      </c>
      <c r="N125" s="9"/>
      <c r="O125" s="9"/>
      <c r="P125" s="9"/>
      <c r="Q125" s="9" t="s">
        <v>327</v>
      </c>
      <c r="R125" s="9" t="s">
        <v>833</v>
      </c>
      <c r="S125" s="9" t="s">
        <v>91</v>
      </c>
      <c r="T125" s="12" t="n">
        <v>46324</v>
      </c>
      <c r="U125" s="10" t="s">
        <v>877</v>
      </c>
    </row>
    <row r="126" customFormat="false" ht="35.05" hidden="false" customHeight="false" outlineLevel="0" collapsed="false">
      <c r="A126" s="9" t="s">
        <v>878</v>
      </c>
      <c r="B126" s="10" t="s">
        <v>879</v>
      </c>
      <c r="C126" s="9" t="s">
        <v>826</v>
      </c>
      <c r="D126" s="9" t="s">
        <v>827</v>
      </c>
      <c r="E126" s="9" t="s">
        <v>828</v>
      </c>
      <c r="F126" s="9" t="s">
        <v>829</v>
      </c>
      <c r="G126" s="10" t="s">
        <v>880</v>
      </c>
      <c r="H126" s="11" t="s">
        <v>881</v>
      </c>
      <c r="I126" s="10" t="s">
        <v>879</v>
      </c>
      <c r="J126" s="9" t="s">
        <v>148</v>
      </c>
      <c r="K126" s="9" t="s">
        <v>523</v>
      </c>
      <c r="L126" s="10" t="s">
        <v>87</v>
      </c>
      <c r="M126" s="9" t="s">
        <v>88</v>
      </c>
      <c r="N126" s="9"/>
      <c r="O126" s="9"/>
      <c r="P126" s="9"/>
      <c r="Q126" s="9" t="s">
        <v>327</v>
      </c>
      <c r="R126" s="9" t="s">
        <v>833</v>
      </c>
      <c r="S126" s="9" t="s">
        <v>91</v>
      </c>
      <c r="T126" s="12" t="n">
        <v>46324</v>
      </c>
      <c r="U126" s="10" t="s">
        <v>882</v>
      </c>
    </row>
    <row r="127" customFormat="false" ht="23.85" hidden="false" customHeight="false" outlineLevel="0" collapsed="false">
      <c r="A127" s="9" t="s">
        <v>883</v>
      </c>
      <c r="B127" s="10" t="s">
        <v>884</v>
      </c>
      <c r="C127" s="9" t="s">
        <v>826</v>
      </c>
      <c r="D127" s="9" t="s">
        <v>827</v>
      </c>
      <c r="E127" s="9" t="s">
        <v>828</v>
      </c>
      <c r="F127" s="9" t="s">
        <v>103</v>
      </c>
      <c r="G127" s="10" t="s">
        <v>885</v>
      </c>
      <c r="H127" s="11" t="s">
        <v>886</v>
      </c>
      <c r="I127" s="10" t="s">
        <v>884</v>
      </c>
      <c r="J127" s="9" t="s">
        <v>430</v>
      </c>
      <c r="K127" s="9" t="s">
        <v>458</v>
      </c>
      <c r="L127" s="10" t="s">
        <v>785</v>
      </c>
      <c r="M127" s="9" t="s">
        <v>88</v>
      </c>
      <c r="N127" s="9"/>
      <c r="O127" s="9"/>
      <c r="P127" s="9"/>
      <c r="Q127" s="9" t="s">
        <v>327</v>
      </c>
      <c r="R127" s="9" t="s">
        <v>833</v>
      </c>
      <c r="S127" s="9" t="s">
        <v>91</v>
      </c>
      <c r="T127" s="12" t="n">
        <v>46324</v>
      </c>
      <c r="U127" s="10" t="s">
        <v>887</v>
      </c>
    </row>
    <row r="128" customFormat="false" ht="23.85" hidden="false" customHeight="false" outlineLevel="0" collapsed="false">
      <c r="A128" s="9" t="s">
        <v>888</v>
      </c>
      <c r="B128" s="10" t="s">
        <v>889</v>
      </c>
      <c r="C128" s="9" t="s">
        <v>826</v>
      </c>
      <c r="D128" s="9" t="s">
        <v>827</v>
      </c>
      <c r="E128" s="9" t="s">
        <v>890</v>
      </c>
      <c r="F128" s="9" t="s">
        <v>103</v>
      </c>
      <c r="G128" s="10" t="s">
        <v>891</v>
      </c>
      <c r="H128" s="11" t="s">
        <v>892</v>
      </c>
      <c r="I128" s="10" t="s">
        <v>889</v>
      </c>
      <c r="J128" s="9" t="s">
        <v>430</v>
      </c>
      <c r="K128" s="9" t="s">
        <v>458</v>
      </c>
      <c r="L128" s="10" t="s">
        <v>607</v>
      </c>
      <c r="M128" s="9" t="s">
        <v>88</v>
      </c>
      <c r="N128" s="9"/>
      <c r="O128" s="9"/>
      <c r="P128" s="9"/>
      <c r="Q128" s="9" t="s">
        <v>327</v>
      </c>
      <c r="R128" s="9" t="s">
        <v>833</v>
      </c>
      <c r="S128" s="9" t="s">
        <v>91</v>
      </c>
      <c r="T128" s="12" t="n">
        <v>46324</v>
      </c>
      <c r="U128" s="10" t="s">
        <v>893</v>
      </c>
    </row>
    <row r="129" customFormat="false" ht="35.05" hidden="false" customHeight="false" outlineLevel="0" collapsed="false">
      <c r="A129" s="9" t="s">
        <v>894</v>
      </c>
      <c r="B129" s="10" t="s">
        <v>895</v>
      </c>
      <c r="C129" s="9" t="s">
        <v>826</v>
      </c>
      <c r="D129" s="9" t="s">
        <v>827</v>
      </c>
      <c r="E129" s="9" t="s">
        <v>890</v>
      </c>
      <c r="F129" s="9" t="s">
        <v>103</v>
      </c>
      <c r="G129" s="10" t="s">
        <v>896</v>
      </c>
      <c r="H129" s="11" t="s">
        <v>897</v>
      </c>
      <c r="I129" s="10" t="s">
        <v>895</v>
      </c>
      <c r="J129" s="9" t="s">
        <v>430</v>
      </c>
      <c r="K129" s="9" t="s">
        <v>474</v>
      </c>
      <c r="L129" s="10" t="s">
        <v>607</v>
      </c>
      <c r="M129" s="9" t="s">
        <v>88</v>
      </c>
      <c r="N129" s="9"/>
      <c r="O129" s="9"/>
      <c r="P129" s="9"/>
      <c r="Q129" s="9" t="s">
        <v>327</v>
      </c>
      <c r="R129" s="9" t="s">
        <v>833</v>
      </c>
      <c r="S129" s="9" t="s">
        <v>167</v>
      </c>
      <c r="T129" s="12" t="n">
        <v>46324</v>
      </c>
      <c r="U129" s="10" t="s">
        <v>898</v>
      </c>
    </row>
    <row r="130" customFormat="false" ht="35.05" hidden="false" customHeight="false" outlineLevel="0" collapsed="false">
      <c r="A130" s="9" t="s">
        <v>899</v>
      </c>
      <c r="B130" s="10" t="s">
        <v>900</v>
      </c>
      <c r="C130" s="9" t="s">
        <v>826</v>
      </c>
      <c r="D130" s="9" t="s">
        <v>827</v>
      </c>
      <c r="E130" s="9" t="s">
        <v>901</v>
      </c>
      <c r="F130" s="9" t="s">
        <v>868</v>
      </c>
      <c r="G130" s="10" t="s">
        <v>902</v>
      </c>
      <c r="H130" s="11" t="s">
        <v>903</v>
      </c>
      <c r="I130" s="10" t="s">
        <v>904</v>
      </c>
      <c r="J130" s="9" t="s">
        <v>430</v>
      </c>
      <c r="K130" s="9" t="s">
        <v>474</v>
      </c>
      <c r="L130" s="10" t="s">
        <v>905</v>
      </c>
      <c r="M130" s="9" t="s">
        <v>88</v>
      </c>
      <c r="N130" s="9"/>
      <c r="O130" s="9"/>
      <c r="P130" s="9"/>
      <c r="Q130" s="9" t="s">
        <v>327</v>
      </c>
      <c r="R130" s="9" t="s">
        <v>833</v>
      </c>
      <c r="S130" s="9" t="s">
        <v>167</v>
      </c>
      <c r="T130" s="12" t="n">
        <v>46324</v>
      </c>
      <c r="U130" s="10" t="s">
        <v>906</v>
      </c>
    </row>
    <row r="131" customFormat="false" ht="35.05" hidden="false" customHeight="false" outlineLevel="0" collapsed="false">
      <c r="A131" s="9" t="s">
        <v>907</v>
      </c>
      <c r="B131" s="10" t="s">
        <v>908</v>
      </c>
      <c r="C131" s="9" t="s">
        <v>826</v>
      </c>
      <c r="D131" s="9" t="s">
        <v>827</v>
      </c>
      <c r="E131" s="9" t="s">
        <v>901</v>
      </c>
      <c r="F131" s="9" t="s">
        <v>868</v>
      </c>
      <c r="G131" s="10" t="s">
        <v>909</v>
      </c>
      <c r="H131" s="11" t="s">
        <v>910</v>
      </c>
      <c r="I131" s="10" t="s">
        <v>911</v>
      </c>
      <c r="J131" s="9" t="s">
        <v>430</v>
      </c>
      <c r="K131" s="9" t="s">
        <v>474</v>
      </c>
      <c r="L131" s="10" t="s">
        <v>785</v>
      </c>
      <c r="M131" s="9" t="s">
        <v>88</v>
      </c>
      <c r="N131" s="9"/>
      <c r="O131" s="9"/>
      <c r="P131" s="9"/>
      <c r="Q131" s="9" t="s">
        <v>327</v>
      </c>
      <c r="R131" s="9" t="s">
        <v>833</v>
      </c>
      <c r="S131" s="9" t="s">
        <v>167</v>
      </c>
      <c r="T131" s="12" t="n">
        <v>46324</v>
      </c>
      <c r="U131" s="10" t="s">
        <v>912</v>
      </c>
    </row>
    <row r="132" customFormat="false" ht="35.05" hidden="false" customHeight="false" outlineLevel="0" collapsed="false">
      <c r="A132" s="9" t="s">
        <v>913</v>
      </c>
      <c r="B132" s="10" t="s">
        <v>914</v>
      </c>
      <c r="C132" s="9" t="s">
        <v>826</v>
      </c>
      <c r="D132" s="9" t="s">
        <v>827</v>
      </c>
      <c r="E132" s="9" t="s">
        <v>828</v>
      </c>
      <c r="F132" s="9" t="s">
        <v>259</v>
      </c>
      <c r="G132" s="10" t="s">
        <v>915</v>
      </c>
      <c r="H132" s="11" t="s">
        <v>916</v>
      </c>
      <c r="I132" s="10" t="s">
        <v>649</v>
      </c>
      <c r="J132" s="9" t="s">
        <v>430</v>
      </c>
      <c r="K132" s="9" t="s">
        <v>474</v>
      </c>
      <c r="L132" s="10" t="s">
        <v>785</v>
      </c>
      <c r="M132" s="9" t="s">
        <v>845</v>
      </c>
      <c r="N132" s="9"/>
      <c r="O132" s="9"/>
      <c r="P132" s="9"/>
      <c r="Q132" s="9" t="s">
        <v>327</v>
      </c>
      <c r="R132" s="9" t="s">
        <v>90</v>
      </c>
      <c r="S132" s="9" t="s">
        <v>91</v>
      </c>
      <c r="T132" s="12" t="n">
        <v>46324</v>
      </c>
      <c r="U132" s="10" t="s">
        <v>917</v>
      </c>
    </row>
    <row r="133" customFormat="false" ht="23.85" hidden="false" customHeight="false" outlineLevel="0" collapsed="false">
      <c r="A133" s="9" t="s">
        <v>918</v>
      </c>
      <c r="B133" s="10" t="s">
        <v>919</v>
      </c>
      <c r="C133" s="9" t="s">
        <v>826</v>
      </c>
      <c r="D133" s="9" t="s">
        <v>827</v>
      </c>
      <c r="E133" s="9" t="s">
        <v>920</v>
      </c>
      <c r="F133" s="9" t="s">
        <v>682</v>
      </c>
      <c r="G133" s="10" t="s">
        <v>921</v>
      </c>
      <c r="H133" s="11" t="s">
        <v>922</v>
      </c>
      <c r="I133" s="10" t="s">
        <v>649</v>
      </c>
      <c r="J133" s="9" t="s">
        <v>430</v>
      </c>
      <c r="K133" s="9" t="s">
        <v>474</v>
      </c>
      <c r="L133" s="10" t="s">
        <v>785</v>
      </c>
      <c r="M133" s="9" t="s">
        <v>845</v>
      </c>
      <c r="N133" s="9"/>
      <c r="O133" s="9"/>
      <c r="P133" s="9"/>
      <c r="Q133" s="9" t="s">
        <v>327</v>
      </c>
      <c r="R133" s="9" t="s">
        <v>90</v>
      </c>
      <c r="S133" s="9" t="s">
        <v>91</v>
      </c>
      <c r="T133" s="12" t="n">
        <v>46324</v>
      </c>
      <c r="U133" s="10" t="s">
        <v>923</v>
      </c>
    </row>
    <row r="134" customFormat="false" ht="35.05" hidden="false" customHeight="false" outlineLevel="0" collapsed="false">
      <c r="A134" s="9" t="s">
        <v>924</v>
      </c>
      <c r="B134" s="10" t="s">
        <v>925</v>
      </c>
      <c r="C134" s="9" t="s">
        <v>826</v>
      </c>
      <c r="D134" s="9" t="s">
        <v>827</v>
      </c>
      <c r="E134" s="9" t="s">
        <v>920</v>
      </c>
      <c r="F134" s="9" t="s">
        <v>82</v>
      </c>
      <c r="G134" s="10" t="s">
        <v>926</v>
      </c>
      <c r="H134" s="11" t="s">
        <v>927</v>
      </c>
      <c r="I134" s="10" t="s">
        <v>649</v>
      </c>
      <c r="J134" s="9" t="s">
        <v>430</v>
      </c>
      <c r="K134" s="9" t="s">
        <v>523</v>
      </c>
      <c r="L134" s="10" t="s">
        <v>785</v>
      </c>
      <c r="M134" s="9" t="s">
        <v>845</v>
      </c>
      <c r="N134" s="9"/>
      <c r="O134" s="9"/>
      <c r="P134" s="9"/>
      <c r="Q134" s="9" t="s">
        <v>327</v>
      </c>
      <c r="R134" s="9" t="s">
        <v>90</v>
      </c>
      <c r="S134" s="9" t="s">
        <v>91</v>
      </c>
      <c r="T134" s="12" t="n">
        <v>46324</v>
      </c>
      <c r="U134" s="10" t="s">
        <v>928</v>
      </c>
    </row>
    <row r="135" customFormat="false" ht="35.05" hidden="false" customHeight="false" outlineLevel="0" collapsed="false">
      <c r="A135" s="9" t="s">
        <v>929</v>
      </c>
      <c r="B135" s="10" t="s">
        <v>930</v>
      </c>
      <c r="C135" s="9" t="s">
        <v>826</v>
      </c>
      <c r="D135" s="9" t="s">
        <v>827</v>
      </c>
      <c r="E135" s="9" t="s">
        <v>828</v>
      </c>
      <c r="F135" s="9" t="s">
        <v>259</v>
      </c>
      <c r="G135" s="10" t="s">
        <v>931</v>
      </c>
      <c r="H135" s="11" t="s">
        <v>932</v>
      </c>
      <c r="I135" s="10" t="s">
        <v>930</v>
      </c>
      <c r="J135" s="9" t="s">
        <v>430</v>
      </c>
      <c r="K135" s="9" t="s">
        <v>474</v>
      </c>
      <c r="L135" s="10" t="s">
        <v>933</v>
      </c>
      <c r="M135" s="9" t="s">
        <v>88</v>
      </c>
      <c r="N135" s="9"/>
      <c r="O135" s="9"/>
      <c r="P135" s="9"/>
      <c r="Q135" s="9" t="s">
        <v>327</v>
      </c>
      <c r="R135" s="9" t="s">
        <v>90</v>
      </c>
      <c r="S135" s="9" t="s">
        <v>91</v>
      </c>
      <c r="T135" s="12" t="n">
        <v>46324</v>
      </c>
      <c r="U135" s="10" t="s">
        <v>934</v>
      </c>
    </row>
    <row r="136" customFormat="false" ht="35.05" hidden="false" customHeight="false" outlineLevel="0" collapsed="false">
      <c r="A136" s="9" t="s">
        <v>935</v>
      </c>
      <c r="B136" s="10" t="s">
        <v>936</v>
      </c>
      <c r="C136" s="9" t="s">
        <v>826</v>
      </c>
      <c r="D136" s="9" t="s">
        <v>827</v>
      </c>
      <c r="E136" s="9" t="s">
        <v>828</v>
      </c>
      <c r="F136" s="9" t="s">
        <v>82</v>
      </c>
      <c r="G136" s="10" t="s">
        <v>937</v>
      </c>
      <c r="H136" s="11" t="s">
        <v>938</v>
      </c>
      <c r="I136" s="10" t="s">
        <v>939</v>
      </c>
      <c r="J136" s="9" t="s">
        <v>430</v>
      </c>
      <c r="K136" s="9" t="s">
        <v>474</v>
      </c>
      <c r="L136" s="10" t="s">
        <v>785</v>
      </c>
      <c r="M136" s="9" t="s">
        <v>88</v>
      </c>
      <c r="N136" s="9"/>
      <c r="O136" s="9"/>
      <c r="P136" s="9"/>
      <c r="Q136" s="9" t="s">
        <v>327</v>
      </c>
      <c r="R136" s="9" t="s">
        <v>90</v>
      </c>
      <c r="S136" s="9" t="s">
        <v>91</v>
      </c>
      <c r="T136" s="12" t="n">
        <v>46324</v>
      </c>
      <c r="U136" s="10" t="s">
        <v>940</v>
      </c>
    </row>
    <row r="137" customFormat="false" ht="35.05" hidden="false" customHeight="false" outlineLevel="0" collapsed="false">
      <c r="A137" s="9" t="s">
        <v>941</v>
      </c>
      <c r="B137" s="10" t="s">
        <v>942</v>
      </c>
      <c r="C137" s="9" t="s">
        <v>826</v>
      </c>
      <c r="D137" s="9" t="s">
        <v>827</v>
      </c>
      <c r="E137" s="9" t="s">
        <v>920</v>
      </c>
      <c r="F137" s="9" t="s">
        <v>103</v>
      </c>
      <c r="G137" s="10" t="s">
        <v>943</v>
      </c>
      <c r="H137" s="11" t="s">
        <v>944</v>
      </c>
      <c r="I137" s="10" t="s">
        <v>848</v>
      </c>
      <c r="J137" s="9" t="s">
        <v>430</v>
      </c>
      <c r="K137" s="9" t="s">
        <v>523</v>
      </c>
      <c r="L137" s="10" t="s">
        <v>945</v>
      </c>
      <c r="M137" s="9" t="s">
        <v>845</v>
      </c>
      <c r="N137" s="9"/>
      <c r="O137" s="9"/>
      <c r="P137" s="9"/>
      <c r="Q137" s="9" t="s">
        <v>327</v>
      </c>
      <c r="R137" s="9" t="s">
        <v>90</v>
      </c>
      <c r="S137" s="9" t="s">
        <v>91</v>
      </c>
      <c r="T137" s="12" t="n">
        <v>46324</v>
      </c>
      <c r="U137" s="10" t="s">
        <v>946</v>
      </c>
    </row>
    <row r="138" customFormat="false" ht="23.85" hidden="false" customHeight="false" outlineLevel="0" collapsed="false">
      <c r="A138" s="9" t="s">
        <v>947</v>
      </c>
      <c r="B138" s="10" t="s">
        <v>948</v>
      </c>
      <c r="C138" s="9" t="s">
        <v>826</v>
      </c>
      <c r="D138" s="9" t="s">
        <v>827</v>
      </c>
      <c r="E138" s="9" t="s">
        <v>920</v>
      </c>
      <c r="F138" s="9" t="s">
        <v>103</v>
      </c>
      <c r="G138" s="10" t="s">
        <v>949</v>
      </c>
      <c r="H138" s="11" t="s">
        <v>950</v>
      </c>
      <c r="I138" s="10" t="s">
        <v>848</v>
      </c>
      <c r="J138" s="9" t="s">
        <v>430</v>
      </c>
      <c r="K138" s="9" t="s">
        <v>474</v>
      </c>
      <c r="L138" s="10" t="s">
        <v>951</v>
      </c>
      <c r="M138" s="9" t="s">
        <v>845</v>
      </c>
      <c r="N138" s="9"/>
      <c r="O138" s="9"/>
      <c r="P138" s="9"/>
      <c r="Q138" s="9" t="s">
        <v>327</v>
      </c>
      <c r="R138" s="9" t="s">
        <v>90</v>
      </c>
      <c r="S138" s="9" t="s">
        <v>91</v>
      </c>
      <c r="T138" s="12" t="n">
        <v>46324</v>
      </c>
      <c r="U138" s="10" t="s">
        <v>952</v>
      </c>
    </row>
    <row r="139" customFormat="false" ht="35.05" hidden="false" customHeight="false" outlineLevel="0" collapsed="false">
      <c r="A139" s="9" t="s">
        <v>953</v>
      </c>
      <c r="B139" s="10" t="s">
        <v>954</v>
      </c>
      <c r="C139" s="9" t="s">
        <v>826</v>
      </c>
      <c r="D139" s="9" t="s">
        <v>827</v>
      </c>
      <c r="E139" s="9" t="s">
        <v>920</v>
      </c>
      <c r="F139" s="9" t="s">
        <v>561</v>
      </c>
      <c r="G139" s="10" t="s">
        <v>955</v>
      </c>
      <c r="H139" s="11" t="s">
        <v>956</v>
      </c>
      <c r="I139" s="10" t="s">
        <v>848</v>
      </c>
      <c r="J139" s="9" t="s">
        <v>430</v>
      </c>
      <c r="K139" s="9" t="s">
        <v>482</v>
      </c>
      <c r="L139" s="10" t="s">
        <v>951</v>
      </c>
      <c r="M139" s="9" t="s">
        <v>845</v>
      </c>
      <c r="N139" s="9"/>
      <c r="O139" s="9"/>
      <c r="P139" s="9"/>
      <c r="Q139" s="9" t="s">
        <v>327</v>
      </c>
      <c r="R139" s="9" t="s">
        <v>90</v>
      </c>
      <c r="S139" s="9" t="s">
        <v>91</v>
      </c>
      <c r="T139" s="12" t="n">
        <v>46324</v>
      </c>
      <c r="U139" s="10" t="s">
        <v>957</v>
      </c>
    </row>
    <row r="140" customFormat="false" ht="23.85" hidden="false" customHeight="false" outlineLevel="0" collapsed="false">
      <c r="A140" s="9" t="s">
        <v>958</v>
      </c>
      <c r="B140" s="10" t="s">
        <v>959</v>
      </c>
      <c r="C140" s="9" t="s">
        <v>826</v>
      </c>
      <c r="D140" s="9" t="s">
        <v>827</v>
      </c>
      <c r="E140" s="9" t="s">
        <v>828</v>
      </c>
      <c r="F140" s="9" t="s">
        <v>440</v>
      </c>
      <c r="G140" s="10" t="s">
        <v>960</v>
      </c>
      <c r="H140" s="11" t="s">
        <v>961</v>
      </c>
      <c r="I140" s="10" t="s">
        <v>848</v>
      </c>
      <c r="J140" s="9" t="s">
        <v>430</v>
      </c>
      <c r="K140" s="9" t="s">
        <v>458</v>
      </c>
      <c r="L140" s="10" t="s">
        <v>87</v>
      </c>
      <c r="M140" s="9" t="s">
        <v>845</v>
      </c>
      <c r="N140" s="9"/>
      <c r="O140" s="9"/>
      <c r="P140" s="9"/>
      <c r="Q140" s="9" t="s">
        <v>327</v>
      </c>
      <c r="R140" s="9" t="s">
        <v>90</v>
      </c>
      <c r="S140" s="9" t="s">
        <v>91</v>
      </c>
      <c r="T140" s="12" t="n">
        <v>46324</v>
      </c>
      <c r="U140" s="10" t="s">
        <v>962</v>
      </c>
    </row>
    <row r="141" customFormat="false" ht="46.25" hidden="false" customHeight="false" outlineLevel="0" collapsed="false">
      <c r="A141" s="9" t="s">
        <v>963</v>
      </c>
      <c r="B141" s="10" t="s">
        <v>964</v>
      </c>
      <c r="C141" s="9" t="s">
        <v>826</v>
      </c>
      <c r="D141" s="9" t="s">
        <v>827</v>
      </c>
      <c r="E141" s="9" t="s">
        <v>920</v>
      </c>
      <c r="F141" s="9" t="s">
        <v>95</v>
      </c>
      <c r="G141" s="10" t="s">
        <v>965</v>
      </c>
      <c r="H141" s="11" t="s">
        <v>966</v>
      </c>
      <c r="I141" s="10" t="s">
        <v>967</v>
      </c>
      <c r="J141" s="9" t="s">
        <v>430</v>
      </c>
      <c r="K141" s="9" t="s">
        <v>523</v>
      </c>
      <c r="L141" s="10" t="s">
        <v>87</v>
      </c>
      <c r="M141" s="9" t="s">
        <v>88</v>
      </c>
      <c r="N141" s="9"/>
      <c r="O141" s="9"/>
      <c r="P141" s="9"/>
      <c r="Q141" s="9" t="s">
        <v>327</v>
      </c>
      <c r="R141" s="9" t="s">
        <v>90</v>
      </c>
      <c r="S141" s="9" t="s">
        <v>91</v>
      </c>
      <c r="T141" s="12" t="n">
        <v>46324</v>
      </c>
      <c r="U141" s="10" t="s">
        <v>968</v>
      </c>
    </row>
    <row r="142" customFormat="false" ht="35.05" hidden="false" customHeight="false" outlineLevel="0" collapsed="false">
      <c r="A142" s="9" t="s">
        <v>969</v>
      </c>
      <c r="B142" s="10" t="s">
        <v>970</v>
      </c>
      <c r="C142" s="9" t="s">
        <v>826</v>
      </c>
      <c r="D142" s="9" t="s">
        <v>827</v>
      </c>
      <c r="E142" s="9" t="s">
        <v>971</v>
      </c>
      <c r="F142" s="9" t="s">
        <v>103</v>
      </c>
      <c r="G142" s="10" t="s">
        <v>972</v>
      </c>
      <c r="H142" s="11" t="s">
        <v>973</v>
      </c>
      <c r="I142" s="10" t="s">
        <v>974</v>
      </c>
      <c r="J142" s="9" t="s">
        <v>430</v>
      </c>
      <c r="K142" s="9" t="s">
        <v>523</v>
      </c>
      <c r="L142" s="10" t="s">
        <v>975</v>
      </c>
      <c r="M142" s="9" t="s">
        <v>88</v>
      </c>
      <c r="N142" s="9"/>
      <c r="O142" s="9"/>
      <c r="P142" s="9"/>
      <c r="Q142" s="9" t="s">
        <v>327</v>
      </c>
      <c r="R142" s="9" t="s">
        <v>90</v>
      </c>
      <c r="S142" s="9" t="s">
        <v>167</v>
      </c>
      <c r="T142" s="12" t="n">
        <v>46324</v>
      </c>
      <c r="U142" s="10" t="s">
        <v>976</v>
      </c>
    </row>
    <row r="143" customFormat="false" ht="35.05" hidden="false" customHeight="false" outlineLevel="0" collapsed="false">
      <c r="A143" s="9" t="s">
        <v>977</v>
      </c>
      <c r="B143" s="10" t="s">
        <v>978</v>
      </c>
      <c r="C143" s="9" t="s">
        <v>826</v>
      </c>
      <c r="D143" s="9" t="s">
        <v>827</v>
      </c>
      <c r="E143" s="9" t="s">
        <v>837</v>
      </c>
      <c r="F143" s="9" t="s">
        <v>103</v>
      </c>
      <c r="G143" s="10" t="s">
        <v>979</v>
      </c>
      <c r="H143" s="11" t="s">
        <v>980</v>
      </c>
      <c r="I143" s="10" t="s">
        <v>981</v>
      </c>
      <c r="J143" s="9" t="s">
        <v>430</v>
      </c>
      <c r="K143" s="9" t="s">
        <v>523</v>
      </c>
      <c r="L143" s="10" t="s">
        <v>982</v>
      </c>
      <c r="M143" s="9" t="s">
        <v>88</v>
      </c>
      <c r="N143" s="9"/>
      <c r="O143" s="9"/>
      <c r="P143" s="9"/>
      <c r="Q143" s="9" t="s">
        <v>327</v>
      </c>
      <c r="R143" s="9" t="s">
        <v>90</v>
      </c>
      <c r="S143" s="9" t="s">
        <v>167</v>
      </c>
      <c r="T143" s="12" t="n">
        <v>46324</v>
      </c>
      <c r="U143" s="10" t="s">
        <v>983</v>
      </c>
    </row>
    <row r="144" customFormat="false" ht="35.05" hidden="false" customHeight="false" outlineLevel="0" collapsed="false">
      <c r="A144" s="9" t="s">
        <v>984</v>
      </c>
      <c r="B144" s="10" t="s">
        <v>985</v>
      </c>
      <c r="C144" s="9" t="s">
        <v>826</v>
      </c>
      <c r="D144" s="9" t="s">
        <v>827</v>
      </c>
      <c r="E144" s="9" t="s">
        <v>890</v>
      </c>
      <c r="F144" s="9" t="s">
        <v>440</v>
      </c>
      <c r="G144" s="10" t="s">
        <v>986</v>
      </c>
      <c r="H144" s="11" t="s">
        <v>987</v>
      </c>
      <c r="I144" s="10" t="s">
        <v>988</v>
      </c>
      <c r="J144" s="9" t="s">
        <v>430</v>
      </c>
      <c r="K144" s="9" t="s">
        <v>458</v>
      </c>
      <c r="L144" s="10" t="s">
        <v>87</v>
      </c>
      <c r="M144" s="9" t="s">
        <v>88</v>
      </c>
      <c r="N144" s="9"/>
      <c r="O144" s="9"/>
      <c r="P144" s="9"/>
      <c r="Q144" s="9" t="s">
        <v>327</v>
      </c>
      <c r="R144" s="9" t="s">
        <v>90</v>
      </c>
      <c r="S144" s="9" t="s">
        <v>91</v>
      </c>
      <c r="T144" s="12" t="n">
        <v>46324</v>
      </c>
      <c r="U144" s="10" t="s">
        <v>989</v>
      </c>
    </row>
    <row r="145" customFormat="false" ht="23.85" hidden="false" customHeight="false" outlineLevel="0" collapsed="false">
      <c r="A145" s="9" t="s">
        <v>990</v>
      </c>
      <c r="B145" s="10" t="s">
        <v>991</v>
      </c>
      <c r="C145" s="9" t="s">
        <v>826</v>
      </c>
      <c r="D145" s="9" t="s">
        <v>827</v>
      </c>
      <c r="E145" s="9" t="s">
        <v>920</v>
      </c>
      <c r="F145" s="9" t="s">
        <v>103</v>
      </c>
      <c r="G145" s="10" t="s">
        <v>992</v>
      </c>
      <c r="H145" s="11" t="s">
        <v>993</v>
      </c>
      <c r="I145" s="10" t="s">
        <v>994</v>
      </c>
      <c r="J145" s="9" t="s">
        <v>430</v>
      </c>
      <c r="K145" s="9" t="s">
        <v>523</v>
      </c>
      <c r="L145" s="10" t="s">
        <v>995</v>
      </c>
      <c r="M145" s="9" t="s">
        <v>88</v>
      </c>
      <c r="N145" s="9"/>
      <c r="O145" s="9"/>
      <c r="P145" s="9"/>
      <c r="Q145" s="9" t="s">
        <v>327</v>
      </c>
      <c r="R145" s="9" t="s">
        <v>90</v>
      </c>
      <c r="S145" s="9" t="s">
        <v>91</v>
      </c>
      <c r="T145" s="12" t="n">
        <v>46324</v>
      </c>
      <c r="U145" s="10" t="s">
        <v>996</v>
      </c>
    </row>
    <row r="146" customFormat="false" ht="35.05" hidden="false" customHeight="false" outlineLevel="0" collapsed="false">
      <c r="A146" s="9" t="s">
        <v>997</v>
      </c>
      <c r="B146" s="10" t="s">
        <v>998</v>
      </c>
      <c r="C146" s="9" t="s">
        <v>826</v>
      </c>
      <c r="D146" s="9" t="s">
        <v>827</v>
      </c>
      <c r="E146" s="9" t="s">
        <v>920</v>
      </c>
      <c r="F146" s="9" t="s">
        <v>95</v>
      </c>
      <c r="G146" s="10" t="s">
        <v>999</v>
      </c>
      <c r="H146" s="11" t="s">
        <v>1000</v>
      </c>
      <c r="I146" s="10" t="s">
        <v>1001</v>
      </c>
      <c r="J146" s="9" t="s">
        <v>430</v>
      </c>
      <c r="K146" s="9" t="s">
        <v>523</v>
      </c>
      <c r="L146" s="10" t="s">
        <v>607</v>
      </c>
      <c r="M146" s="9" t="s">
        <v>88</v>
      </c>
      <c r="N146" s="9"/>
      <c r="O146" s="9"/>
      <c r="P146" s="9"/>
      <c r="Q146" s="9" t="s">
        <v>327</v>
      </c>
      <c r="R146" s="9" t="s">
        <v>90</v>
      </c>
      <c r="S146" s="9" t="s">
        <v>91</v>
      </c>
      <c r="T146" s="12" t="n">
        <v>46324</v>
      </c>
      <c r="U146" s="10" t="s">
        <v>1002</v>
      </c>
    </row>
    <row r="147" customFormat="false" ht="35.05" hidden="false" customHeight="false" outlineLevel="0" collapsed="false">
      <c r="A147" s="9" t="s">
        <v>1003</v>
      </c>
      <c r="B147" s="10" t="s">
        <v>1004</v>
      </c>
      <c r="C147" s="9" t="s">
        <v>826</v>
      </c>
      <c r="D147" s="9" t="s">
        <v>827</v>
      </c>
      <c r="E147" s="9" t="s">
        <v>890</v>
      </c>
      <c r="F147" s="9" t="s">
        <v>103</v>
      </c>
      <c r="G147" s="10" t="s">
        <v>1005</v>
      </c>
      <c r="H147" s="11" t="s">
        <v>1006</v>
      </c>
      <c r="I147" s="10" t="s">
        <v>580</v>
      </c>
      <c r="J147" s="9" t="s">
        <v>430</v>
      </c>
      <c r="K147" s="9" t="s">
        <v>458</v>
      </c>
      <c r="L147" s="10" t="s">
        <v>87</v>
      </c>
      <c r="M147" s="9" t="s">
        <v>88</v>
      </c>
      <c r="N147" s="9"/>
      <c r="O147" s="9"/>
      <c r="P147" s="9"/>
      <c r="Q147" s="9" t="s">
        <v>327</v>
      </c>
      <c r="R147" s="9" t="s">
        <v>90</v>
      </c>
      <c r="S147" s="9" t="s">
        <v>91</v>
      </c>
      <c r="T147" s="12" t="n">
        <v>46324</v>
      </c>
      <c r="U147" s="10" t="s">
        <v>1007</v>
      </c>
    </row>
    <row r="148" customFormat="false" ht="35.05" hidden="false" customHeight="false" outlineLevel="0" collapsed="false">
      <c r="A148" s="9" t="s">
        <v>1008</v>
      </c>
      <c r="B148" s="10" t="s">
        <v>1009</v>
      </c>
      <c r="C148" s="9" t="s">
        <v>826</v>
      </c>
      <c r="D148" s="9" t="s">
        <v>827</v>
      </c>
      <c r="E148" s="9" t="s">
        <v>901</v>
      </c>
      <c r="F148" s="9" t="s">
        <v>119</v>
      </c>
      <c r="G148" s="10" t="s">
        <v>1010</v>
      </c>
      <c r="H148" s="11" t="s">
        <v>1011</v>
      </c>
      <c r="I148" s="10" t="s">
        <v>1012</v>
      </c>
      <c r="J148" s="9" t="s">
        <v>148</v>
      </c>
      <c r="K148" s="9" t="s">
        <v>482</v>
      </c>
      <c r="L148" s="10" t="s">
        <v>1013</v>
      </c>
      <c r="M148" s="9" t="s">
        <v>742</v>
      </c>
      <c r="N148" s="9"/>
      <c r="O148" s="9"/>
      <c r="P148" s="9"/>
      <c r="Q148" s="9" t="s">
        <v>327</v>
      </c>
      <c r="R148" s="9" t="s">
        <v>90</v>
      </c>
      <c r="S148" s="9" t="s">
        <v>91</v>
      </c>
      <c r="T148" s="12" t="n">
        <v>46324</v>
      </c>
      <c r="U148" s="10" t="s">
        <v>1014</v>
      </c>
    </row>
    <row r="149" customFormat="false" ht="23.85" hidden="false" customHeight="false" outlineLevel="0" collapsed="false">
      <c r="A149" s="9" t="s">
        <v>1015</v>
      </c>
      <c r="B149" s="10" t="s">
        <v>1016</v>
      </c>
      <c r="C149" s="9" t="s">
        <v>1017</v>
      </c>
      <c r="D149" s="9" t="s">
        <v>1018</v>
      </c>
      <c r="E149" s="9" t="s">
        <v>1019</v>
      </c>
      <c r="F149" s="9" t="s">
        <v>561</v>
      </c>
      <c r="G149" s="10" t="s">
        <v>1020</v>
      </c>
      <c r="H149" s="11" t="s">
        <v>1021</v>
      </c>
      <c r="I149" s="10" t="s">
        <v>848</v>
      </c>
      <c r="J149" s="9" t="s">
        <v>148</v>
      </c>
      <c r="K149" s="9" t="s">
        <v>474</v>
      </c>
      <c r="L149" s="10" t="s">
        <v>1022</v>
      </c>
      <c r="M149" s="9" t="s">
        <v>845</v>
      </c>
      <c r="N149" s="12" t="n">
        <v>46328</v>
      </c>
      <c r="O149" s="12" t="n">
        <v>46329</v>
      </c>
      <c r="P149" s="9" t="s">
        <v>1023</v>
      </c>
      <c r="Q149" s="9" t="s">
        <v>1024</v>
      </c>
      <c r="R149" s="9" t="s">
        <v>90</v>
      </c>
      <c r="S149" s="9" t="s">
        <v>91</v>
      </c>
      <c r="T149" s="12" t="n">
        <v>46324</v>
      </c>
      <c r="U149" s="10" t="s">
        <v>1025</v>
      </c>
    </row>
    <row r="150" customFormat="false" ht="46.25" hidden="false" customHeight="false" outlineLevel="0" collapsed="false">
      <c r="A150" s="9" t="s">
        <v>1026</v>
      </c>
      <c r="B150" s="10" t="s">
        <v>1027</v>
      </c>
      <c r="C150" s="9" t="s">
        <v>1017</v>
      </c>
      <c r="D150" s="9" t="s">
        <v>1018</v>
      </c>
      <c r="E150" s="9" t="s">
        <v>1028</v>
      </c>
      <c r="F150" s="9" t="s">
        <v>1029</v>
      </c>
      <c r="G150" s="10" t="s">
        <v>1030</v>
      </c>
      <c r="H150" s="11" t="s">
        <v>1031</v>
      </c>
      <c r="I150" s="10" t="s">
        <v>1032</v>
      </c>
      <c r="J150" s="9" t="s">
        <v>148</v>
      </c>
      <c r="K150" s="9" t="s">
        <v>458</v>
      </c>
      <c r="L150" s="10" t="s">
        <v>1033</v>
      </c>
      <c r="M150" s="9" t="s">
        <v>742</v>
      </c>
      <c r="N150" s="12" t="n">
        <v>46330</v>
      </c>
      <c r="O150" s="12" t="n">
        <v>46332</v>
      </c>
      <c r="P150" s="9" t="s">
        <v>1034</v>
      </c>
      <c r="Q150" s="9" t="s">
        <v>1024</v>
      </c>
      <c r="R150" s="9" t="s">
        <v>90</v>
      </c>
      <c r="S150" s="9" t="s">
        <v>167</v>
      </c>
      <c r="T150" s="12" t="n">
        <v>46324</v>
      </c>
      <c r="U150" s="10" t="s">
        <v>1035</v>
      </c>
    </row>
    <row r="151" customFormat="false" ht="35.05" hidden="false" customHeight="false" outlineLevel="0" collapsed="false">
      <c r="A151" s="9" t="s">
        <v>1036</v>
      </c>
      <c r="B151" s="10" t="s">
        <v>1037</v>
      </c>
      <c r="C151" s="9" t="s">
        <v>1017</v>
      </c>
      <c r="D151" s="9" t="s">
        <v>1018</v>
      </c>
      <c r="E151" s="9" t="s">
        <v>1028</v>
      </c>
      <c r="F151" s="9" t="s">
        <v>138</v>
      </c>
      <c r="G151" s="10" t="s">
        <v>1038</v>
      </c>
      <c r="H151" s="11" t="s">
        <v>1039</v>
      </c>
      <c r="I151" s="10" t="s">
        <v>429</v>
      </c>
      <c r="J151" s="9" t="s">
        <v>430</v>
      </c>
      <c r="K151" s="9" t="s">
        <v>482</v>
      </c>
      <c r="L151" s="10" t="s">
        <v>1033</v>
      </c>
      <c r="M151" s="9" t="s">
        <v>742</v>
      </c>
      <c r="N151" s="12" t="n">
        <v>46342</v>
      </c>
      <c r="O151" s="12" t="n">
        <v>46345</v>
      </c>
      <c r="P151" s="9" t="s">
        <v>1040</v>
      </c>
      <c r="Q151" s="9" t="s">
        <v>1024</v>
      </c>
      <c r="R151" s="9" t="s">
        <v>90</v>
      </c>
      <c r="S151" s="9" t="s">
        <v>91</v>
      </c>
      <c r="T151" s="12" t="n">
        <v>46324</v>
      </c>
      <c r="U151" s="10" t="s">
        <v>1041</v>
      </c>
    </row>
    <row r="152" customFormat="false" ht="46.25" hidden="false" customHeight="false" outlineLevel="0" collapsed="false">
      <c r="A152" s="9" t="s">
        <v>1042</v>
      </c>
      <c r="B152" s="10" t="s">
        <v>1043</v>
      </c>
      <c r="C152" s="9" t="s">
        <v>1017</v>
      </c>
      <c r="D152" s="9" t="s">
        <v>1018</v>
      </c>
      <c r="E152" s="9" t="s">
        <v>1028</v>
      </c>
      <c r="F152" s="9" t="s">
        <v>1044</v>
      </c>
      <c r="G152" s="10" t="s">
        <v>1045</v>
      </c>
      <c r="H152" s="11" t="s">
        <v>1046</v>
      </c>
      <c r="I152" s="10" t="s">
        <v>649</v>
      </c>
      <c r="J152" s="9" t="s">
        <v>86</v>
      </c>
      <c r="K152" s="9" t="s">
        <v>458</v>
      </c>
      <c r="L152" s="10" t="s">
        <v>1047</v>
      </c>
      <c r="M152" s="9" t="s">
        <v>742</v>
      </c>
      <c r="N152" s="12" t="n">
        <v>46342</v>
      </c>
      <c r="O152" s="12" t="n">
        <v>46345</v>
      </c>
      <c r="P152" s="9" t="s">
        <v>1040</v>
      </c>
      <c r="Q152" s="9" t="s">
        <v>1024</v>
      </c>
      <c r="R152" s="9" t="s">
        <v>90</v>
      </c>
      <c r="S152" s="9" t="s">
        <v>91</v>
      </c>
      <c r="T152" s="12" t="n">
        <v>46324</v>
      </c>
      <c r="U152" s="10" t="s">
        <v>1048</v>
      </c>
    </row>
    <row r="153" customFormat="false" ht="23.85" hidden="false" customHeight="false" outlineLevel="0" collapsed="false">
      <c r="A153" s="9" t="s">
        <v>1049</v>
      </c>
      <c r="B153" s="10" t="s">
        <v>1050</v>
      </c>
      <c r="C153" s="9" t="s">
        <v>1017</v>
      </c>
      <c r="D153" s="9" t="s">
        <v>1018</v>
      </c>
      <c r="E153" s="9" t="s">
        <v>1028</v>
      </c>
      <c r="F153" s="9" t="s">
        <v>103</v>
      </c>
      <c r="G153" s="10" t="s">
        <v>1051</v>
      </c>
      <c r="H153" s="11" t="s">
        <v>1052</v>
      </c>
      <c r="I153" s="10" t="s">
        <v>1053</v>
      </c>
      <c r="J153" s="9" t="s">
        <v>1054</v>
      </c>
      <c r="K153" s="9" t="s">
        <v>458</v>
      </c>
      <c r="L153" s="10" t="s">
        <v>1033</v>
      </c>
      <c r="M153" s="9" t="s">
        <v>742</v>
      </c>
      <c r="N153" s="12" t="n">
        <v>46357</v>
      </c>
      <c r="O153" s="12" t="n">
        <v>46359</v>
      </c>
      <c r="P153" s="9" t="s">
        <v>1055</v>
      </c>
      <c r="Q153" s="9" t="s">
        <v>1024</v>
      </c>
      <c r="R153" s="9" t="s">
        <v>90</v>
      </c>
      <c r="S153" s="9" t="s">
        <v>91</v>
      </c>
      <c r="T153" s="12" t="n">
        <v>46324</v>
      </c>
      <c r="U153" s="10" t="s">
        <v>1056</v>
      </c>
    </row>
    <row r="154" customFormat="false" ht="46.25" hidden="false" customHeight="false" outlineLevel="0" collapsed="false">
      <c r="A154" s="9" t="s">
        <v>1057</v>
      </c>
      <c r="B154" s="10" t="s">
        <v>1058</v>
      </c>
      <c r="C154" s="9" t="s">
        <v>1017</v>
      </c>
      <c r="D154" s="9" t="s">
        <v>1018</v>
      </c>
      <c r="E154" s="9" t="s">
        <v>1028</v>
      </c>
      <c r="F154" s="9" t="s">
        <v>259</v>
      </c>
      <c r="G154" s="10" t="s">
        <v>1059</v>
      </c>
      <c r="H154" s="11" t="s">
        <v>1060</v>
      </c>
      <c r="I154" s="10" t="s">
        <v>649</v>
      </c>
      <c r="J154" s="9" t="s">
        <v>1061</v>
      </c>
      <c r="K154" s="9" t="s">
        <v>458</v>
      </c>
      <c r="L154" s="10" t="s">
        <v>1062</v>
      </c>
      <c r="M154" s="9" t="s">
        <v>742</v>
      </c>
      <c r="N154" s="12" t="n">
        <v>46357</v>
      </c>
      <c r="O154" s="12" t="n">
        <v>46360</v>
      </c>
      <c r="P154" s="9" t="s">
        <v>1063</v>
      </c>
      <c r="Q154" s="9" t="s">
        <v>1024</v>
      </c>
      <c r="R154" s="9" t="s">
        <v>90</v>
      </c>
      <c r="S154" s="9" t="s">
        <v>91</v>
      </c>
      <c r="T154" s="12" t="n">
        <v>46324</v>
      </c>
      <c r="U154" s="10" t="s">
        <v>1064</v>
      </c>
    </row>
    <row r="155" customFormat="false" ht="23.85" hidden="false" customHeight="false" outlineLevel="0" collapsed="false">
      <c r="A155" s="9" t="s">
        <v>1065</v>
      </c>
      <c r="B155" s="10" t="s">
        <v>1066</v>
      </c>
      <c r="C155" s="9" t="s">
        <v>1017</v>
      </c>
      <c r="D155" s="9" t="s">
        <v>1018</v>
      </c>
      <c r="E155" s="9" t="s">
        <v>1028</v>
      </c>
      <c r="F155" s="9" t="s">
        <v>1067</v>
      </c>
      <c r="G155" s="10" t="s">
        <v>1068</v>
      </c>
      <c r="H155" s="11" t="s">
        <v>1069</v>
      </c>
      <c r="I155" s="10" t="s">
        <v>625</v>
      </c>
      <c r="J155" s="9" t="s">
        <v>430</v>
      </c>
      <c r="K155" s="9" t="s">
        <v>458</v>
      </c>
      <c r="L155" s="10" t="s">
        <v>1033</v>
      </c>
      <c r="M155" s="9" t="s">
        <v>88</v>
      </c>
      <c r="N155" s="12" t="n">
        <v>46357</v>
      </c>
      <c r="O155" s="12" t="n">
        <v>46359</v>
      </c>
      <c r="P155" s="9" t="s">
        <v>88</v>
      </c>
      <c r="Q155" s="9" t="s">
        <v>1024</v>
      </c>
      <c r="R155" s="9" t="s">
        <v>90</v>
      </c>
      <c r="S155" s="9" t="s">
        <v>91</v>
      </c>
      <c r="T155" s="12" t="n">
        <v>46324</v>
      </c>
      <c r="U155" s="10" t="s">
        <v>1070</v>
      </c>
    </row>
    <row r="156" customFormat="false" ht="23.85" hidden="false" customHeight="false" outlineLevel="0" collapsed="false">
      <c r="A156" s="9" t="s">
        <v>1071</v>
      </c>
      <c r="B156" s="10" t="s">
        <v>1072</v>
      </c>
      <c r="C156" s="9" t="s">
        <v>1017</v>
      </c>
      <c r="D156" s="9" t="s">
        <v>1018</v>
      </c>
      <c r="E156" s="9" t="s">
        <v>1028</v>
      </c>
      <c r="F156" s="9" t="s">
        <v>103</v>
      </c>
      <c r="G156" s="10" t="s">
        <v>1073</v>
      </c>
      <c r="H156" s="11" t="s">
        <v>1052</v>
      </c>
      <c r="I156" s="10" t="s">
        <v>1053</v>
      </c>
      <c r="J156" s="9" t="s">
        <v>134</v>
      </c>
      <c r="K156" s="9" t="s">
        <v>474</v>
      </c>
      <c r="L156" s="10" t="s">
        <v>1033</v>
      </c>
      <c r="M156" s="9" t="s">
        <v>742</v>
      </c>
      <c r="N156" s="12" t="n">
        <v>46363</v>
      </c>
      <c r="O156" s="12" t="n">
        <v>46366</v>
      </c>
      <c r="P156" s="9" t="s">
        <v>1074</v>
      </c>
      <c r="Q156" s="9" t="s">
        <v>1024</v>
      </c>
      <c r="R156" s="9" t="s">
        <v>90</v>
      </c>
      <c r="S156" s="9" t="s">
        <v>91</v>
      </c>
      <c r="T156" s="12" t="n">
        <v>46324</v>
      </c>
      <c r="U156" s="10" t="s">
        <v>1075</v>
      </c>
    </row>
    <row r="157" customFormat="false" ht="35.05" hidden="false" customHeight="false" outlineLevel="0" collapsed="false">
      <c r="A157" s="9" t="s">
        <v>1076</v>
      </c>
      <c r="B157" s="10" t="s">
        <v>1077</v>
      </c>
      <c r="C157" s="9" t="s">
        <v>1017</v>
      </c>
      <c r="D157" s="9" t="s">
        <v>1018</v>
      </c>
      <c r="E157" s="9" t="s">
        <v>1019</v>
      </c>
      <c r="F157" s="9" t="s">
        <v>103</v>
      </c>
      <c r="G157" s="10" t="s">
        <v>1078</v>
      </c>
      <c r="H157" s="11" t="s">
        <v>1079</v>
      </c>
      <c r="I157" s="10" t="s">
        <v>1080</v>
      </c>
      <c r="J157" s="9" t="s">
        <v>148</v>
      </c>
      <c r="K157" s="9" t="s">
        <v>474</v>
      </c>
      <c r="L157" s="10" t="s">
        <v>1081</v>
      </c>
      <c r="M157" s="9" t="s">
        <v>742</v>
      </c>
      <c r="N157" s="12" t="n">
        <v>46363</v>
      </c>
      <c r="O157" s="12" t="n">
        <v>46365</v>
      </c>
      <c r="P157" s="9" t="s">
        <v>1082</v>
      </c>
      <c r="Q157" s="9" t="s">
        <v>1024</v>
      </c>
      <c r="R157" s="9" t="s">
        <v>833</v>
      </c>
      <c r="S157" s="9" t="s">
        <v>167</v>
      </c>
      <c r="T157" s="12" t="n">
        <v>46324</v>
      </c>
      <c r="U157" s="10" t="s">
        <v>1083</v>
      </c>
    </row>
    <row r="158" customFormat="false" ht="35.05" hidden="false" customHeight="false" outlineLevel="0" collapsed="false">
      <c r="A158" s="9" t="s">
        <v>1084</v>
      </c>
      <c r="B158" s="10" t="s">
        <v>1085</v>
      </c>
      <c r="C158" s="9" t="s">
        <v>1017</v>
      </c>
      <c r="D158" s="9" t="s">
        <v>1018</v>
      </c>
      <c r="E158" s="9" t="s">
        <v>1086</v>
      </c>
      <c r="F158" s="9" t="s">
        <v>103</v>
      </c>
      <c r="G158" s="10" t="s">
        <v>1087</v>
      </c>
      <c r="H158" s="11" t="s">
        <v>1088</v>
      </c>
      <c r="I158" s="10" t="s">
        <v>848</v>
      </c>
      <c r="J158" s="9" t="s">
        <v>148</v>
      </c>
      <c r="K158" s="9" t="s">
        <v>474</v>
      </c>
      <c r="L158" s="10" t="s">
        <v>1089</v>
      </c>
      <c r="M158" s="9" t="s">
        <v>845</v>
      </c>
      <c r="N158" s="12" t="n">
        <v>46370</v>
      </c>
      <c r="O158" s="12" t="n">
        <v>46375</v>
      </c>
      <c r="P158" s="9" t="s">
        <v>1034</v>
      </c>
      <c r="Q158" s="9" t="s">
        <v>1024</v>
      </c>
      <c r="R158" s="9" t="s">
        <v>90</v>
      </c>
      <c r="S158" s="9" t="s">
        <v>91</v>
      </c>
      <c r="T158" s="12" t="n">
        <v>46324</v>
      </c>
      <c r="U158" s="10" t="s">
        <v>1090</v>
      </c>
    </row>
    <row r="159" customFormat="false" ht="35.05" hidden="false" customHeight="false" outlineLevel="0" collapsed="false">
      <c r="A159" s="9" t="s">
        <v>1091</v>
      </c>
      <c r="B159" s="10" t="s">
        <v>1092</v>
      </c>
      <c r="C159" s="9" t="s">
        <v>1017</v>
      </c>
      <c r="D159" s="9" t="s">
        <v>1018</v>
      </c>
      <c r="E159" s="9" t="s">
        <v>1028</v>
      </c>
      <c r="F159" s="9" t="s">
        <v>1093</v>
      </c>
      <c r="G159" s="10" t="s">
        <v>1094</v>
      </c>
      <c r="H159" s="11" t="s">
        <v>1095</v>
      </c>
      <c r="I159" s="10" t="s">
        <v>1096</v>
      </c>
      <c r="J159" s="9" t="s">
        <v>148</v>
      </c>
      <c r="K159" s="9" t="s">
        <v>458</v>
      </c>
      <c r="L159" s="10" t="s">
        <v>1033</v>
      </c>
      <c r="M159" s="9" t="s">
        <v>742</v>
      </c>
      <c r="N159" s="12" t="n">
        <v>46401</v>
      </c>
      <c r="O159" s="12" t="n">
        <v>46402</v>
      </c>
      <c r="P159" s="9" t="s">
        <v>1097</v>
      </c>
      <c r="Q159" s="9" t="s">
        <v>1024</v>
      </c>
      <c r="R159" s="9" t="s">
        <v>90</v>
      </c>
      <c r="S159" s="9" t="s">
        <v>91</v>
      </c>
      <c r="T159" s="12" t="n">
        <v>46324</v>
      </c>
      <c r="U159" s="10" t="s">
        <v>1098</v>
      </c>
    </row>
    <row r="160" customFormat="false" ht="46.25" hidden="false" customHeight="false" outlineLevel="0" collapsed="false">
      <c r="A160" s="9" t="s">
        <v>1099</v>
      </c>
      <c r="B160" s="10" t="s">
        <v>1100</v>
      </c>
      <c r="C160" s="9" t="s">
        <v>1017</v>
      </c>
      <c r="D160" s="9" t="s">
        <v>1018</v>
      </c>
      <c r="E160" s="9" t="s">
        <v>1028</v>
      </c>
      <c r="F160" s="9" t="s">
        <v>82</v>
      </c>
      <c r="G160" s="10" t="s">
        <v>1101</v>
      </c>
      <c r="H160" s="11" t="s">
        <v>1102</v>
      </c>
      <c r="I160" s="10" t="s">
        <v>1103</v>
      </c>
      <c r="J160" s="9" t="s">
        <v>1104</v>
      </c>
      <c r="K160" s="9" t="s">
        <v>458</v>
      </c>
      <c r="L160" s="10" t="s">
        <v>1105</v>
      </c>
      <c r="M160" s="9" t="s">
        <v>742</v>
      </c>
      <c r="N160" s="12" t="n">
        <v>46414</v>
      </c>
      <c r="O160" s="12" t="n">
        <v>46415</v>
      </c>
      <c r="P160" s="9" t="s">
        <v>1106</v>
      </c>
      <c r="Q160" s="9" t="s">
        <v>1024</v>
      </c>
      <c r="R160" s="9" t="s">
        <v>90</v>
      </c>
      <c r="S160" s="9" t="s">
        <v>91</v>
      </c>
      <c r="T160" s="12" t="n">
        <v>46324</v>
      </c>
      <c r="U160" s="10" t="s">
        <v>1107</v>
      </c>
    </row>
    <row r="161" customFormat="false" ht="23.85" hidden="false" customHeight="false" outlineLevel="0" collapsed="false">
      <c r="A161" s="9" t="s">
        <v>1108</v>
      </c>
      <c r="B161" s="10" t="s">
        <v>1109</v>
      </c>
      <c r="C161" s="9" t="s">
        <v>1017</v>
      </c>
      <c r="D161" s="9" t="s">
        <v>1018</v>
      </c>
      <c r="E161" s="9" t="s">
        <v>1019</v>
      </c>
      <c r="F161" s="9" t="s">
        <v>103</v>
      </c>
      <c r="G161" s="10" t="s">
        <v>1110</v>
      </c>
      <c r="H161" s="11" t="s">
        <v>1111</v>
      </c>
      <c r="I161" s="10" t="s">
        <v>848</v>
      </c>
      <c r="J161" s="9" t="s">
        <v>148</v>
      </c>
      <c r="K161" s="9" t="s">
        <v>474</v>
      </c>
      <c r="L161" s="10" t="s">
        <v>1112</v>
      </c>
      <c r="M161" s="9" t="s">
        <v>845</v>
      </c>
      <c r="N161" s="12" t="n">
        <v>46419</v>
      </c>
      <c r="O161" s="12" t="n">
        <v>46426</v>
      </c>
      <c r="P161" s="9" t="s">
        <v>1113</v>
      </c>
      <c r="Q161" s="9" t="s">
        <v>1024</v>
      </c>
      <c r="R161" s="9" t="s">
        <v>90</v>
      </c>
      <c r="S161" s="9" t="s">
        <v>91</v>
      </c>
      <c r="T161" s="12" t="n">
        <v>46324</v>
      </c>
      <c r="U161" s="10" t="s">
        <v>1114</v>
      </c>
    </row>
    <row r="162" customFormat="false" ht="35.05" hidden="false" customHeight="false" outlineLevel="0" collapsed="false">
      <c r="A162" s="9" t="s">
        <v>1115</v>
      </c>
      <c r="B162" s="10" t="s">
        <v>1116</v>
      </c>
      <c r="C162" s="9" t="s">
        <v>1017</v>
      </c>
      <c r="D162" s="9" t="s">
        <v>1018</v>
      </c>
      <c r="E162" s="9" t="s">
        <v>1028</v>
      </c>
      <c r="F162" s="9" t="s">
        <v>1093</v>
      </c>
      <c r="G162" s="10" t="s">
        <v>1117</v>
      </c>
      <c r="H162" s="11" t="s">
        <v>1118</v>
      </c>
      <c r="I162" s="10" t="s">
        <v>1119</v>
      </c>
      <c r="J162" s="9" t="s">
        <v>148</v>
      </c>
      <c r="K162" s="9" t="s">
        <v>458</v>
      </c>
      <c r="L162" s="10" t="s">
        <v>1033</v>
      </c>
      <c r="M162" s="9" t="s">
        <v>742</v>
      </c>
      <c r="N162" s="12" t="n">
        <v>46447</v>
      </c>
      <c r="O162" s="12" t="n">
        <v>46449</v>
      </c>
      <c r="P162" s="9" t="s">
        <v>1120</v>
      </c>
      <c r="Q162" s="9" t="s">
        <v>1024</v>
      </c>
      <c r="R162" s="9" t="s">
        <v>90</v>
      </c>
      <c r="S162" s="9" t="s">
        <v>91</v>
      </c>
      <c r="T162" s="12" t="n">
        <v>46324</v>
      </c>
      <c r="U162" s="10" t="s">
        <v>1121</v>
      </c>
    </row>
    <row r="163" customFormat="false" ht="35.05" hidden="false" customHeight="false" outlineLevel="0" collapsed="false">
      <c r="A163" s="9" t="s">
        <v>1122</v>
      </c>
      <c r="B163" s="10" t="s">
        <v>1123</v>
      </c>
      <c r="C163" s="9" t="s">
        <v>1017</v>
      </c>
      <c r="D163" s="9" t="s">
        <v>1018</v>
      </c>
      <c r="E163" s="9" t="s">
        <v>1028</v>
      </c>
      <c r="F163" s="9" t="s">
        <v>1093</v>
      </c>
      <c r="G163" s="10" t="s">
        <v>1124</v>
      </c>
      <c r="H163" s="11" t="s">
        <v>1125</v>
      </c>
      <c r="I163" s="10" t="s">
        <v>1126</v>
      </c>
      <c r="J163" s="9" t="s">
        <v>148</v>
      </c>
      <c r="K163" s="9" t="s">
        <v>458</v>
      </c>
      <c r="L163" s="10" t="s">
        <v>1033</v>
      </c>
      <c r="M163" s="9" t="s">
        <v>742</v>
      </c>
      <c r="N163" s="12" t="n">
        <v>46449</v>
      </c>
      <c r="O163" s="12" t="n">
        <v>46452</v>
      </c>
      <c r="P163" s="9" t="s">
        <v>1127</v>
      </c>
      <c r="Q163" s="9" t="s">
        <v>1024</v>
      </c>
      <c r="R163" s="9" t="s">
        <v>90</v>
      </c>
      <c r="S163" s="9" t="s">
        <v>91</v>
      </c>
      <c r="T163" s="12" t="n">
        <v>46324</v>
      </c>
      <c r="U163" s="10" t="s">
        <v>1128</v>
      </c>
    </row>
    <row r="164" customFormat="false" ht="35.05" hidden="false" customHeight="false" outlineLevel="0" collapsed="false">
      <c r="A164" s="9" t="s">
        <v>1129</v>
      </c>
      <c r="B164" s="10" t="s">
        <v>1130</v>
      </c>
      <c r="C164" s="9" t="s">
        <v>1017</v>
      </c>
      <c r="D164" s="9" t="s">
        <v>1018</v>
      </c>
      <c r="E164" s="9" t="s">
        <v>1028</v>
      </c>
      <c r="F164" s="9" t="s">
        <v>1044</v>
      </c>
      <c r="G164" s="10" t="s">
        <v>1131</v>
      </c>
      <c r="H164" s="11" t="s">
        <v>1132</v>
      </c>
      <c r="I164" s="10" t="s">
        <v>1133</v>
      </c>
      <c r="J164" s="9" t="s">
        <v>86</v>
      </c>
      <c r="K164" s="9" t="s">
        <v>458</v>
      </c>
      <c r="L164" s="10" t="s">
        <v>1033</v>
      </c>
      <c r="M164" s="9" t="s">
        <v>742</v>
      </c>
      <c r="N164" s="12" t="n">
        <v>46454</v>
      </c>
      <c r="O164" s="12" t="n">
        <v>46457</v>
      </c>
      <c r="P164" s="9" t="s">
        <v>1040</v>
      </c>
      <c r="Q164" s="9" t="s">
        <v>1024</v>
      </c>
      <c r="R164" s="9" t="s">
        <v>90</v>
      </c>
      <c r="S164" s="9" t="s">
        <v>91</v>
      </c>
      <c r="T164" s="12" t="n">
        <v>46324</v>
      </c>
      <c r="U164" s="10" t="s">
        <v>1134</v>
      </c>
    </row>
    <row r="165" customFormat="false" ht="35.05" hidden="false" customHeight="false" outlineLevel="0" collapsed="false">
      <c r="A165" s="9" t="s">
        <v>1135</v>
      </c>
      <c r="B165" s="10" t="s">
        <v>1136</v>
      </c>
      <c r="C165" s="9" t="s">
        <v>1017</v>
      </c>
      <c r="D165" s="9" t="s">
        <v>1018</v>
      </c>
      <c r="E165" s="9" t="s">
        <v>1028</v>
      </c>
      <c r="F165" s="9" t="s">
        <v>103</v>
      </c>
      <c r="G165" s="10" t="s">
        <v>1137</v>
      </c>
      <c r="H165" s="11" t="s">
        <v>1138</v>
      </c>
      <c r="I165" s="10" t="s">
        <v>1139</v>
      </c>
      <c r="J165" s="9" t="s">
        <v>148</v>
      </c>
      <c r="K165" s="9" t="s">
        <v>458</v>
      </c>
      <c r="L165" s="10" t="s">
        <v>1033</v>
      </c>
      <c r="M165" s="9" t="s">
        <v>742</v>
      </c>
      <c r="N165" s="12" t="n">
        <v>46463</v>
      </c>
      <c r="O165" s="12" t="n">
        <v>46465</v>
      </c>
      <c r="P165" s="9" t="s">
        <v>1140</v>
      </c>
      <c r="Q165" s="9" t="s">
        <v>1024</v>
      </c>
      <c r="R165" s="9" t="s">
        <v>90</v>
      </c>
      <c r="S165" s="9" t="s">
        <v>91</v>
      </c>
      <c r="T165" s="12" t="n">
        <v>46324</v>
      </c>
      <c r="U165" s="10" t="s">
        <v>1141</v>
      </c>
    </row>
    <row r="166" customFormat="false" ht="35.05" hidden="false" customHeight="false" outlineLevel="0" collapsed="false">
      <c r="A166" s="9" t="s">
        <v>1142</v>
      </c>
      <c r="B166" s="10" t="s">
        <v>1143</v>
      </c>
      <c r="C166" s="9" t="s">
        <v>1017</v>
      </c>
      <c r="D166" s="9" t="s">
        <v>1018</v>
      </c>
      <c r="E166" s="9" t="s">
        <v>1028</v>
      </c>
      <c r="F166" s="9" t="s">
        <v>1044</v>
      </c>
      <c r="G166" s="10" t="s">
        <v>1144</v>
      </c>
      <c r="H166" s="11" t="s">
        <v>1145</v>
      </c>
      <c r="I166" s="10" t="s">
        <v>649</v>
      </c>
      <c r="J166" s="9" t="s">
        <v>148</v>
      </c>
      <c r="K166" s="9" t="s">
        <v>458</v>
      </c>
      <c r="L166" s="10" t="s">
        <v>1033</v>
      </c>
      <c r="M166" s="9" t="s">
        <v>742</v>
      </c>
      <c r="N166" s="12" t="n">
        <v>46467</v>
      </c>
      <c r="O166" s="12" t="n">
        <v>46470</v>
      </c>
      <c r="P166" s="9" t="s">
        <v>1034</v>
      </c>
      <c r="Q166" s="9" t="s">
        <v>1024</v>
      </c>
      <c r="R166" s="9" t="s">
        <v>90</v>
      </c>
      <c r="S166" s="9" t="s">
        <v>91</v>
      </c>
      <c r="T166" s="12" t="n">
        <v>46324</v>
      </c>
      <c r="U166" s="10" t="s">
        <v>1146</v>
      </c>
    </row>
    <row r="167" customFormat="false" ht="35.05" hidden="false" customHeight="false" outlineLevel="0" collapsed="false">
      <c r="A167" s="9" t="s">
        <v>1147</v>
      </c>
      <c r="B167" s="10" t="s">
        <v>1148</v>
      </c>
      <c r="C167" s="9" t="s">
        <v>1017</v>
      </c>
      <c r="D167" s="9" t="s">
        <v>1018</v>
      </c>
      <c r="E167" s="9" t="s">
        <v>1028</v>
      </c>
      <c r="F167" s="9" t="s">
        <v>1093</v>
      </c>
      <c r="G167" s="10" t="s">
        <v>1149</v>
      </c>
      <c r="H167" s="11" t="s">
        <v>1150</v>
      </c>
      <c r="I167" s="10" t="s">
        <v>1151</v>
      </c>
      <c r="J167" s="9" t="s">
        <v>148</v>
      </c>
      <c r="K167" s="9" t="s">
        <v>458</v>
      </c>
      <c r="L167" s="10" t="s">
        <v>1152</v>
      </c>
      <c r="M167" s="9" t="s">
        <v>742</v>
      </c>
      <c r="N167" s="12" t="n">
        <v>46475</v>
      </c>
      <c r="O167" s="12" t="n">
        <v>46479</v>
      </c>
      <c r="P167" s="9" t="s">
        <v>1153</v>
      </c>
      <c r="Q167" s="9" t="s">
        <v>1024</v>
      </c>
      <c r="R167" s="9" t="s">
        <v>90</v>
      </c>
      <c r="S167" s="9" t="s">
        <v>91</v>
      </c>
      <c r="T167" s="12" t="n">
        <v>46324</v>
      </c>
      <c r="U167" s="10" t="s">
        <v>1154</v>
      </c>
    </row>
    <row r="168" customFormat="false" ht="35.05" hidden="false" customHeight="false" outlineLevel="0" collapsed="false">
      <c r="A168" s="9" t="s">
        <v>1155</v>
      </c>
      <c r="B168" s="10" t="s">
        <v>1156</v>
      </c>
      <c r="C168" s="9" t="s">
        <v>1017</v>
      </c>
      <c r="D168" s="9" t="s">
        <v>1018</v>
      </c>
      <c r="E168" s="9" t="s">
        <v>1028</v>
      </c>
      <c r="F168" s="9" t="s">
        <v>1157</v>
      </c>
      <c r="G168" s="10" t="s">
        <v>1158</v>
      </c>
      <c r="H168" s="11" t="s">
        <v>1159</v>
      </c>
      <c r="I168" s="10" t="s">
        <v>649</v>
      </c>
      <c r="J168" s="9" t="s">
        <v>134</v>
      </c>
      <c r="K168" s="9" t="s">
        <v>458</v>
      </c>
      <c r="L168" s="10" t="s">
        <v>1033</v>
      </c>
      <c r="M168" s="9" t="s">
        <v>742</v>
      </c>
      <c r="N168" s="12" t="n">
        <v>46482</v>
      </c>
      <c r="O168" s="12" t="n">
        <v>46485</v>
      </c>
      <c r="P168" s="9" t="s">
        <v>1074</v>
      </c>
      <c r="Q168" s="9" t="s">
        <v>1024</v>
      </c>
      <c r="R168" s="9" t="s">
        <v>90</v>
      </c>
      <c r="S168" s="9" t="s">
        <v>91</v>
      </c>
      <c r="T168" s="12" t="n">
        <v>46324</v>
      </c>
      <c r="U168" s="10" t="s">
        <v>1160</v>
      </c>
    </row>
    <row r="169" customFormat="false" ht="35.05" hidden="false" customHeight="false" outlineLevel="0" collapsed="false">
      <c r="A169" s="9" t="s">
        <v>1161</v>
      </c>
      <c r="B169" s="10" t="s">
        <v>1162</v>
      </c>
      <c r="C169" s="9" t="s">
        <v>1017</v>
      </c>
      <c r="D169" s="9" t="s">
        <v>1018</v>
      </c>
      <c r="E169" s="9" t="s">
        <v>1028</v>
      </c>
      <c r="F169" s="9" t="s">
        <v>1163</v>
      </c>
      <c r="G169" s="10" t="s">
        <v>1164</v>
      </c>
      <c r="H169" s="11" t="s">
        <v>1165</v>
      </c>
      <c r="I169" s="10" t="s">
        <v>1166</v>
      </c>
      <c r="J169" s="9" t="s">
        <v>148</v>
      </c>
      <c r="K169" s="9" t="s">
        <v>458</v>
      </c>
      <c r="L169" s="10" t="s">
        <v>1167</v>
      </c>
      <c r="M169" s="9" t="s">
        <v>742</v>
      </c>
      <c r="N169" s="12" t="n">
        <v>46482</v>
      </c>
      <c r="O169" s="12" t="n">
        <v>46485</v>
      </c>
      <c r="P169" s="9" t="s">
        <v>1168</v>
      </c>
      <c r="Q169" s="9" t="s">
        <v>1024</v>
      </c>
      <c r="R169" s="9" t="s">
        <v>90</v>
      </c>
      <c r="S169" s="9" t="s">
        <v>91</v>
      </c>
      <c r="T169" s="12" t="n">
        <v>46324</v>
      </c>
      <c r="U169" s="10" t="s">
        <v>1169</v>
      </c>
    </row>
    <row r="170" customFormat="false" ht="46.25" hidden="false" customHeight="false" outlineLevel="0" collapsed="false">
      <c r="A170" s="9" t="s">
        <v>1170</v>
      </c>
      <c r="B170" s="10" t="s">
        <v>1171</v>
      </c>
      <c r="C170" s="9" t="s">
        <v>1017</v>
      </c>
      <c r="D170" s="9" t="s">
        <v>1018</v>
      </c>
      <c r="E170" s="9" t="s">
        <v>1086</v>
      </c>
      <c r="F170" s="9" t="s">
        <v>103</v>
      </c>
      <c r="G170" s="10" t="s">
        <v>1172</v>
      </c>
      <c r="H170" s="11" t="s">
        <v>1173</v>
      </c>
      <c r="I170" s="10" t="s">
        <v>848</v>
      </c>
      <c r="J170" s="9" t="s">
        <v>148</v>
      </c>
      <c r="K170" s="9" t="s">
        <v>474</v>
      </c>
      <c r="L170" s="10" t="s">
        <v>1174</v>
      </c>
      <c r="M170" s="9" t="s">
        <v>845</v>
      </c>
      <c r="N170" s="12" t="n">
        <v>46489</v>
      </c>
      <c r="O170" s="12" t="n">
        <v>46494</v>
      </c>
      <c r="P170" s="9" t="s">
        <v>1175</v>
      </c>
      <c r="Q170" s="9" t="s">
        <v>1024</v>
      </c>
      <c r="R170" s="9" t="s">
        <v>90</v>
      </c>
      <c r="S170" s="9" t="s">
        <v>91</v>
      </c>
      <c r="T170" s="12" t="n">
        <v>46324</v>
      </c>
      <c r="U170" s="10" t="s">
        <v>1176</v>
      </c>
    </row>
    <row r="171" customFormat="false" ht="35.05" hidden="false" customHeight="false" outlineLevel="0" collapsed="false">
      <c r="A171" s="9" t="s">
        <v>1177</v>
      </c>
      <c r="B171" s="10" t="s">
        <v>1178</v>
      </c>
      <c r="C171" s="9" t="s">
        <v>1017</v>
      </c>
      <c r="D171" s="9" t="s">
        <v>1018</v>
      </c>
      <c r="E171" s="9" t="s">
        <v>1028</v>
      </c>
      <c r="F171" s="9" t="s">
        <v>1044</v>
      </c>
      <c r="G171" s="10" t="s">
        <v>1179</v>
      </c>
      <c r="H171" s="11" t="s">
        <v>1180</v>
      </c>
      <c r="I171" s="10" t="s">
        <v>1181</v>
      </c>
      <c r="J171" s="9" t="s">
        <v>86</v>
      </c>
      <c r="K171" s="9" t="s">
        <v>458</v>
      </c>
      <c r="L171" s="10" t="s">
        <v>1033</v>
      </c>
      <c r="M171" s="9" t="s">
        <v>742</v>
      </c>
      <c r="N171" s="12" t="n">
        <v>46503</v>
      </c>
      <c r="O171" s="12" t="n">
        <v>46507</v>
      </c>
      <c r="P171" s="9" t="s">
        <v>1182</v>
      </c>
      <c r="Q171" s="9" t="s">
        <v>1024</v>
      </c>
      <c r="R171" s="9" t="s">
        <v>90</v>
      </c>
      <c r="S171" s="9" t="s">
        <v>91</v>
      </c>
      <c r="T171" s="12" t="n">
        <v>46324</v>
      </c>
      <c r="U171" s="10" t="s">
        <v>1183</v>
      </c>
    </row>
    <row r="172" customFormat="false" ht="23.85" hidden="false" customHeight="false" outlineLevel="0" collapsed="false">
      <c r="A172" s="9" t="s">
        <v>1184</v>
      </c>
      <c r="B172" s="10" t="s">
        <v>1185</v>
      </c>
      <c r="C172" s="9" t="s">
        <v>1017</v>
      </c>
      <c r="D172" s="9" t="s">
        <v>1018</v>
      </c>
      <c r="E172" s="9" t="s">
        <v>1028</v>
      </c>
      <c r="F172" s="9" t="s">
        <v>1067</v>
      </c>
      <c r="G172" s="10" t="s">
        <v>1186</v>
      </c>
      <c r="H172" s="11" t="s">
        <v>1187</v>
      </c>
      <c r="I172" s="10" t="s">
        <v>625</v>
      </c>
      <c r="J172" s="9" t="s">
        <v>148</v>
      </c>
      <c r="K172" s="9" t="s">
        <v>474</v>
      </c>
      <c r="L172" s="10" t="s">
        <v>1033</v>
      </c>
      <c r="M172" s="9" t="s">
        <v>845</v>
      </c>
      <c r="N172" s="12" t="n">
        <v>46512</v>
      </c>
      <c r="O172" s="12" t="n">
        <v>46514</v>
      </c>
      <c r="P172" s="9" t="s">
        <v>1127</v>
      </c>
      <c r="Q172" s="9" t="s">
        <v>1024</v>
      </c>
      <c r="R172" s="9" t="s">
        <v>90</v>
      </c>
      <c r="S172" s="9" t="s">
        <v>91</v>
      </c>
      <c r="T172" s="12" t="n">
        <v>46324</v>
      </c>
      <c r="U172" s="10" t="s">
        <v>1188</v>
      </c>
    </row>
    <row r="173" customFormat="false" ht="35.05" hidden="false" customHeight="false" outlineLevel="0" collapsed="false">
      <c r="A173" s="9" t="s">
        <v>1189</v>
      </c>
      <c r="B173" s="10" t="s">
        <v>1190</v>
      </c>
      <c r="C173" s="9" t="s">
        <v>1017</v>
      </c>
      <c r="D173" s="9" t="s">
        <v>1018</v>
      </c>
      <c r="E173" s="9" t="s">
        <v>1028</v>
      </c>
      <c r="F173" s="9" t="s">
        <v>1093</v>
      </c>
      <c r="G173" s="10" t="s">
        <v>1191</v>
      </c>
      <c r="H173" s="11" t="s">
        <v>1192</v>
      </c>
      <c r="I173" s="10" t="s">
        <v>1193</v>
      </c>
      <c r="J173" s="9" t="s">
        <v>148</v>
      </c>
      <c r="K173" s="9" t="s">
        <v>458</v>
      </c>
      <c r="L173" s="10" t="s">
        <v>1194</v>
      </c>
      <c r="M173" s="9" t="s">
        <v>742</v>
      </c>
      <c r="N173" s="12" t="n">
        <v>46517</v>
      </c>
      <c r="O173" s="12" t="n">
        <v>46520</v>
      </c>
      <c r="P173" s="9" t="s">
        <v>1082</v>
      </c>
      <c r="Q173" s="9" t="s">
        <v>1024</v>
      </c>
      <c r="R173" s="9" t="s">
        <v>90</v>
      </c>
      <c r="S173" s="9" t="s">
        <v>91</v>
      </c>
      <c r="T173" s="12" t="n">
        <v>46324</v>
      </c>
      <c r="U173" s="10" t="s">
        <v>1195</v>
      </c>
    </row>
    <row r="174" customFormat="false" ht="35.05" hidden="false" customHeight="false" outlineLevel="0" collapsed="false">
      <c r="A174" s="9" t="s">
        <v>1196</v>
      </c>
      <c r="B174" s="10" t="s">
        <v>1197</v>
      </c>
      <c r="C174" s="9" t="s">
        <v>1017</v>
      </c>
      <c r="D174" s="9" t="s">
        <v>1018</v>
      </c>
      <c r="E174" s="9" t="s">
        <v>1028</v>
      </c>
      <c r="F174" s="9" t="s">
        <v>1044</v>
      </c>
      <c r="G174" s="10" t="s">
        <v>1198</v>
      </c>
      <c r="H174" s="11" t="s">
        <v>1199</v>
      </c>
      <c r="I174" s="10" t="s">
        <v>649</v>
      </c>
      <c r="J174" s="9" t="s">
        <v>297</v>
      </c>
      <c r="K174" s="9" t="s">
        <v>458</v>
      </c>
      <c r="L174" s="10" t="s">
        <v>1033</v>
      </c>
      <c r="M174" s="9" t="s">
        <v>742</v>
      </c>
      <c r="N174" s="12" t="n">
        <v>46532</v>
      </c>
      <c r="O174" s="12" t="n">
        <v>46535</v>
      </c>
      <c r="P174" s="9" t="s">
        <v>1200</v>
      </c>
      <c r="Q174" s="9" t="s">
        <v>1024</v>
      </c>
      <c r="R174" s="9" t="s">
        <v>90</v>
      </c>
      <c r="S174" s="9" t="s">
        <v>91</v>
      </c>
      <c r="T174" s="12" t="n">
        <v>46324</v>
      </c>
      <c r="U174" s="10" t="s">
        <v>1201</v>
      </c>
    </row>
    <row r="175" customFormat="false" ht="35.05" hidden="false" customHeight="false" outlineLevel="0" collapsed="false">
      <c r="A175" s="9" t="s">
        <v>1202</v>
      </c>
      <c r="B175" s="10" t="s">
        <v>1203</v>
      </c>
      <c r="C175" s="9" t="s">
        <v>1017</v>
      </c>
      <c r="D175" s="9" t="s">
        <v>1018</v>
      </c>
      <c r="E175" s="9" t="s">
        <v>1028</v>
      </c>
      <c r="F175" s="9" t="s">
        <v>138</v>
      </c>
      <c r="G175" s="10" t="s">
        <v>1204</v>
      </c>
      <c r="H175" s="11" t="s">
        <v>1205</v>
      </c>
      <c r="I175" s="10" t="s">
        <v>1206</v>
      </c>
      <c r="J175" s="9" t="s">
        <v>148</v>
      </c>
      <c r="K175" s="9" t="s">
        <v>482</v>
      </c>
      <c r="L175" s="10" t="s">
        <v>1033</v>
      </c>
      <c r="M175" s="9" t="s">
        <v>742</v>
      </c>
      <c r="N175" s="12" t="n">
        <v>46540</v>
      </c>
      <c r="O175" s="12" t="n">
        <v>46542</v>
      </c>
      <c r="P175" s="9" t="s">
        <v>1207</v>
      </c>
      <c r="Q175" s="9" t="s">
        <v>1024</v>
      </c>
      <c r="R175" s="9" t="s">
        <v>90</v>
      </c>
      <c r="S175" s="9" t="s">
        <v>91</v>
      </c>
      <c r="T175" s="12" t="n">
        <v>46324</v>
      </c>
      <c r="U175" s="10" t="s">
        <v>1208</v>
      </c>
    </row>
    <row r="176" customFormat="false" ht="23.85" hidden="false" customHeight="false" outlineLevel="0" collapsed="false">
      <c r="A176" s="9" t="s">
        <v>1209</v>
      </c>
      <c r="B176" s="10" t="s">
        <v>1210</v>
      </c>
      <c r="C176" s="9" t="s">
        <v>1017</v>
      </c>
      <c r="D176" s="9" t="s">
        <v>1018</v>
      </c>
      <c r="E176" s="9" t="s">
        <v>1028</v>
      </c>
      <c r="F176" s="9" t="s">
        <v>144</v>
      </c>
      <c r="G176" s="10" t="s">
        <v>1211</v>
      </c>
      <c r="H176" s="11" t="s">
        <v>1212</v>
      </c>
      <c r="I176" s="10" t="s">
        <v>1213</v>
      </c>
      <c r="J176" s="9" t="s">
        <v>148</v>
      </c>
      <c r="K176" s="9" t="s">
        <v>474</v>
      </c>
      <c r="L176" s="10" t="s">
        <v>1033</v>
      </c>
      <c r="M176" s="9" t="s">
        <v>742</v>
      </c>
      <c r="N176" s="12" t="n">
        <v>46545</v>
      </c>
      <c r="O176" s="12" t="n">
        <v>46546</v>
      </c>
      <c r="P176" s="9" t="s">
        <v>1214</v>
      </c>
      <c r="Q176" s="9" t="s">
        <v>1024</v>
      </c>
      <c r="R176" s="9" t="s">
        <v>90</v>
      </c>
      <c r="S176" s="9" t="s">
        <v>91</v>
      </c>
      <c r="T176" s="12" t="n">
        <v>46324</v>
      </c>
      <c r="U176" s="10" t="s">
        <v>1215</v>
      </c>
    </row>
    <row r="177" customFormat="false" ht="35.05" hidden="false" customHeight="false" outlineLevel="0" collapsed="false">
      <c r="A177" s="9" t="s">
        <v>1216</v>
      </c>
      <c r="B177" s="10" t="s">
        <v>1217</v>
      </c>
      <c r="C177" s="9" t="s">
        <v>1017</v>
      </c>
      <c r="D177" s="9" t="s">
        <v>1018</v>
      </c>
      <c r="E177" s="9" t="s">
        <v>1028</v>
      </c>
      <c r="F177" s="9" t="s">
        <v>103</v>
      </c>
      <c r="G177" s="10" t="s">
        <v>1218</v>
      </c>
      <c r="H177" s="11" t="s">
        <v>1219</v>
      </c>
      <c r="I177" s="10" t="s">
        <v>1220</v>
      </c>
      <c r="J177" s="9" t="s">
        <v>148</v>
      </c>
      <c r="K177" s="9" t="s">
        <v>458</v>
      </c>
      <c r="L177" s="10" t="s">
        <v>1033</v>
      </c>
      <c r="M177" s="9" t="s">
        <v>742</v>
      </c>
      <c r="N177" s="12" t="n">
        <v>46545</v>
      </c>
      <c r="O177" s="12" t="n">
        <v>46547</v>
      </c>
      <c r="P177" s="9" t="s">
        <v>1097</v>
      </c>
      <c r="Q177" s="9" t="s">
        <v>1024</v>
      </c>
      <c r="R177" s="9" t="s">
        <v>90</v>
      </c>
      <c r="S177" s="9" t="s">
        <v>91</v>
      </c>
      <c r="T177" s="12" t="n">
        <v>46324</v>
      </c>
      <c r="U177" s="10" t="s">
        <v>1221</v>
      </c>
    </row>
    <row r="178" customFormat="false" ht="35.05" hidden="false" customHeight="false" outlineLevel="0" collapsed="false">
      <c r="A178" s="9" t="s">
        <v>1222</v>
      </c>
      <c r="B178" s="10" t="s">
        <v>1223</v>
      </c>
      <c r="C178" s="9" t="s">
        <v>1017</v>
      </c>
      <c r="D178" s="9" t="s">
        <v>1018</v>
      </c>
      <c r="E178" s="9" t="s">
        <v>1224</v>
      </c>
      <c r="F178" s="9" t="s">
        <v>103</v>
      </c>
      <c r="G178" s="10" t="s">
        <v>1225</v>
      </c>
      <c r="H178" s="11" t="s">
        <v>1226</v>
      </c>
      <c r="I178" s="10" t="s">
        <v>1227</v>
      </c>
      <c r="J178" s="9" t="s">
        <v>134</v>
      </c>
      <c r="K178" s="9" t="s">
        <v>458</v>
      </c>
      <c r="L178" s="10" t="s">
        <v>1228</v>
      </c>
      <c r="M178" s="9" t="s">
        <v>742</v>
      </c>
      <c r="N178" s="12" t="n">
        <v>46546</v>
      </c>
      <c r="O178" s="12" t="n">
        <v>46548</v>
      </c>
      <c r="P178" s="9" t="s">
        <v>1229</v>
      </c>
      <c r="Q178" s="9" t="s">
        <v>1024</v>
      </c>
      <c r="R178" s="9" t="s">
        <v>90</v>
      </c>
      <c r="S178" s="9" t="s">
        <v>91</v>
      </c>
      <c r="T178" s="12" t="n">
        <v>46324</v>
      </c>
      <c r="U178" s="10" t="s">
        <v>1230</v>
      </c>
    </row>
    <row r="179" customFormat="false" ht="35.05" hidden="false" customHeight="false" outlineLevel="0" collapsed="false">
      <c r="A179" s="9" t="s">
        <v>1231</v>
      </c>
      <c r="B179" s="10" t="s">
        <v>1232</v>
      </c>
      <c r="C179" s="9" t="s">
        <v>1017</v>
      </c>
      <c r="D179" s="9" t="s">
        <v>1018</v>
      </c>
      <c r="E179" s="9" t="s">
        <v>1028</v>
      </c>
      <c r="F179" s="9" t="s">
        <v>585</v>
      </c>
      <c r="G179" s="10" t="s">
        <v>1233</v>
      </c>
      <c r="H179" s="11" t="s">
        <v>1234</v>
      </c>
      <c r="I179" s="10" t="s">
        <v>1235</v>
      </c>
      <c r="J179" s="9" t="s">
        <v>430</v>
      </c>
      <c r="K179" s="9" t="s">
        <v>482</v>
      </c>
      <c r="L179" s="10" t="s">
        <v>1033</v>
      </c>
      <c r="M179" s="9" t="s">
        <v>742</v>
      </c>
      <c r="N179" s="12" t="n">
        <v>46559</v>
      </c>
      <c r="O179" s="12" t="n">
        <v>46562</v>
      </c>
      <c r="P179" s="9" t="s">
        <v>1236</v>
      </c>
      <c r="Q179" s="9" t="s">
        <v>1024</v>
      </c>
      <c r="R179" s="9" t="s">
        <v>90</v>
      </c>
      <c r="S179" s="9" t="s">
        <v>91</v>
      </c>
      <c r="T179" s="12" t="n">
        <v>46324</v>
      </c>
      <c r="U179" s="10" t="s">
        <v>1237</v>
      </c>
    </row>
    <row r="180" customFormat="false" ht="35.05" hidden="false" customHeight="false" outlineLevel="0" collapsed="false">
      <c r="A180" s="9" t="s">
        <v>1238</v>
      </c>
      <c r="B180" s="10" t="s">
        <v>1239</v>
      </c>
      <c r="C180" s="9" t="s">
        <v>1017</v>
      </c>
      <c r="D180" s="9" t="s">
        <v>1018</v>
      </c>
      <c r="E180" s="9" t="s">
        <v>1019</v>
      </c>
      <c r="F180" s="9" t="s">
        <v>585</v>
      </c>
      <c r="G180" s="10" t="s">
        <v>1240</v>
      </c>
      <c r="H180" s="11" t="s">
        <v>1241</v>
      </c>
      <c r="I180" s="10" t="s">
        <v>1242</v>
      </c>
      <c r="J180" s="9" t="s">
        <v>430</v>
      </c>
      <c r="K180" s="9" t="s">
        <v>482</v>
      </c>
      <c r="L180" s="10" t="s">
        <v>1243</v>
      </c>
      <c r="M180" s="9" t="s">
        <v>742</v>
      </c>
      <c r="N180" s="12" t="n">
        <v>46559</v>
      </c>
      <c r="O180" s="12" t="n">
        <v>46560</v>
      </c>
      <c r="P180" s="9" t="s">
        <v>1244</v>
      </c>
      <c r="Q180" s="9" t="s">
        <v>1024</v>
      </c>
      <c r="R180" s="9" t="s">
        <v>90</v>
      </c>
      <c r="S180" s="9" t="s">
        <v>167</v>
      </c>
      <c r="T180" s="12" t="n">
        <v>46324</v>
      </c>
      <c r="U180" s="10" t="s">
        <v>1245</v>
      </c>
    </row>
    <row r="181" customFormat="false" ht="23.85" hidden="false" customHeight="false" outlineLevel="0" collapsed="false">
      <c r="A181" s="9" t="s">
        <v>1246</v>
      </c>
      <c r="B181" s="10" t="s">
        <v>1247</v>
      </c>
      <c r="C181" s="9" t="s">
        <v>1017</v>
      </c>
      <c r="D181" s="9" t="s">
        <v>1018</v>
      </c>
      <c r="E181" s="9" t="s">
        <v>1028</v>
      </c>
      <c r="F181" s="9" t="s">
        <v>103</v>
      </c>
      <c r="G181" s="10" t="s">
        <v>1248</v>
      </c>
      <c r="H181" s="11" t="s">
        <v>1249</v>
      </c>
      <c r="I181" s="10" t="s">
        <v>1250</v>
      </c>
      <c r="J181" s="9" t="s">
        <v>148</v>
      </c>
      <c r="K181" s="9" t="s">
        <v>458</v>
      </c>
      <c r="L181" s="10" t="s">
        <v>1033</v>
      </c>
      <c r="M181" s="9" t="s">
        <v>742</v>
      </c>
      <c r="N181" s="12" t="n">
        <v>46604</v>
      </c>
      <c r="O181" s="12" t="n">
        <v>46607</v>
      </c>
      <c r="P181" s="9" t="s">
        <v>1082</v>
      </c>
      <c r="Q181" s="9" t="s">
        <v>1024</v>
      </c>
      <c r="R181" s="9" t="s">
        <v>833</v>
      </c>
      <c r="S181" s="9" t="s">
        <v>91</v>
      </c>
      <c r="T181" s="12" t="n">
        <v>46324</v>
      </c>
      <c r="U181" s="10" t="s">
        <v>1251</v>
      </c>
    </row>
    <row r="182" customFormat="false" ht="23.85" hidden="false" customHeight="false" outlineLevel="0" collapsed="false">
      <c r="A182" s="9" t="s">
        <v>1252</v>
      </c>
      <c r="B182" s="10" t="s">
        <v>1253</v>
      </c>
      <c r="C182" s="9" t="s">
        <v>1017</v>
      </c>
      <c r="D182" s="9" t="s">
        <v>1018</v>
      </c>
      <c r="E182" s="9" t="s">
        <v>1028</v>
      </c>
      <c r="F182" s="9" t="s">
        <v>1093</v>
      </c>
      <c r="G182" s="10" t="s">
        <v>1254</v>
      </c>
      <c r="H182" s="11" t="s">
        <v>1255</v>
      </c>
      <c r="I182" s="10" t="s">
        <v>1256</v>
      </c>
      <c r="J182" s="9" t="s">
        <v>148</v>
      </c>
      <c r="K182" s="9" t="s">
        <v>458</v>
      </c>
      <c r="L182" s="10" t="s">
        <v>1033</v>
      </c>
      <c r="M182" s="9" t="s">
        <v>742</v>
      </c>
      <c r="N182" s="12" t="n">
        <v>46607</v>
      </c>
      <c r="O182" s="12" t="n">
        <v>46611</v>
      </c>
      <c r="P182" s="9" t="s">
        <v>1257</v>
      </c>
      <c r="Q182" s="9" t="s">
        <v>1024</v>
      </c>
      <c r="R182" s="9" t="s">
        <v>90</v>
      </c>
      <c r="S182" s="9" t="s">
        <v>91</v>
      </c>
      <c r="T182" s="12" t="n">
        <v>46324</v>
      </c>
      <c r="U182" s="10" t="s">
        <v>1258</v>
      </c>
    </row>
    <row r="183" customFormat="false" ht="35.05" hidden="false" customHeight="false" outlineLevel="0" collapsed="false">
      <c r="A183" s="9" t="s">
        <v>1259</v>
      </c>
      <c r="B183" s="10" t="s">
        <v>1260</v>
      </c>
      <c r="C183" s="9" t="s">
        <v>1017</v>
      </c>
      <c r="D183" s="9" t="s">
        <v>1018</v>
      </c>
      <c r="E183" s="9" t="s">
        <v>1261</v>
      </c>
      <c r="F183" s="9" t="s">
        <v>152</v>
      </c>
      <c r="G183" s="10" t="s">
        <v>1262</v>
      </c>
      <c r="H183" s="11" t="s">
        <v>1263</v>
      </c>
      <c r="I183" s="10" t="s">
        <v>1213</v>
      </c>
      <c r="J183" s="9" t="s">
        <v>148</v>
      </c>
      <c r="K183" s="9" t="s">
        <v>482</v>
      </c>
      <c r="L183" s="10" t="s">
        <v>1033</v>
      </c>
      <c r="M183" s="9" t="s">
        <v>742</v>
      </c>
      <c r="N183" s="12" t="n">
        <v>46610</v>
      </c>
      <c r="O183" s="12" t="n">
        <v>46612</v>
      </c>
      <c r="P183" s="9" t="s">
        <v>1264</v>
      </c>
      <c r="Q183" s="9" t="s">
        <v>1024</v>
      </c>
      <c r="R183" s="9" t="s">
        <v>90</v>
      </c>
      <c r="S183" s="9" t="s">
        <v>91</v>
      </c>
      <c r="T183" s="12" t="n">
        <v>46324</v>
      </c>
      <c r="U183" s="10" t="s">
        <v>1265</v>
      </c>
    </row>
    <row r="184" customFormat="false" ht="35.05" hidden="false" customHeight="false" outlineLevel="0" collapsed="false">
      <c r="A184" s="9" t="s">
        <v>1266</v>
      </c>
      <c r="B184" s="10" t="s">
        <v>1267</v>
      </c>
      <c r="C184" s="9" t="s">
        <v>1017</v>
      </c>
      <c r="D184" s="9" t="s">
        <v>1018</v>
      </c>
      <c r="E184" s="9" t="s">
        <v>1028</v>
      </c>
      <c r="F184" s="9" t="s">
        <v>184</v>
      </c>
      <c r="G184" s="10" t="s">
        <v>1268</v>
      </c>
      <c r="H184" s="11" t="s">
        <v>1269</v>
      </c>
      <c r="I184" s="10" t="s">
        <v>649</v>
      </c>
      <c r="J184" s="9" t="s">
        <v>1270</v>
      </c>
      <c r="K184" s="9" t="s">
        <v>474</v>
      </c>
      <c r="L184" s="10" t="s">
        <v>1033</v>
      </c>
      <c r="M184" s="9" t="s">
        <v>742</v>
      </c>
      <c r="N184" s="12" t="n">
        <v>46644</v>
      </c>
      <c r="O184" s="12" t="n">
        <v>46647</v>
      </c>
      <c r="P184" s="9" t="s">
        <v>1271</v>
      </c>
      <c r="Q184" s="9" t="s">
        <v>1024</v>
      </c>
      <c r="R184" s="9" t="s">
        <v>90</v>
      </c>
      <c r="S184" s="9" t="s">
        <v>91</v>
      </c>
      <c r="T184" s="12" t="n">
        <v>46324</v>
      </c>
      <c r="U184" s="10" t="s">
        <v>1272</v>
      </c>
    </row>
    <row r="185" customFormat="false" ht="35.05" hidden="false" customHeight="false" outlineLevel="0" collapsed="false">
      <c r="A185" s="9" t="s">
        <v>1273</v>
      </c>
      <c r="B185" s="10" t="s">
        <v>1274</v>
      </c>
      <c r="C185" s="9" t="s">
        <v>1017</v>
      </c>
      <c r="D185" s="9" t="s">
        <v>1018</v>
      </c>
      <c r="E185" s="9" t="s">
        <v>1086</v>
      </c>
      <c r="F185" s="9" t="s">
        <v>103</v>
      </c>
      <c r="G185" s="10" t="s">
        <v>1275</v>
      </c>
      <c r="H185" s="11" t="s">
        <v>1276</v>
      </c>
      <c r="I185" s="10" t="s">
        <v>848</v>
      </c>
      <c r="J185" s="9" t="s">
        <v>148</v>
      </c>
      <c r="K185" s="9" t="s">
        <v>474</v>
      </c>
      <c r="L185" s="10" t="s">
        <v>1277</v>
      </c>
      <c r="M185" s="9" t="s">
        <v>742</v>
      </c>
      <c r="N185" s="12" t="n">
        <v>46657</v>
      </c>
      <c r="O185" s="12" t="n">
        <v>46662</v>
      </c>
      <c r="P185" s="9" t="s">
        <v>1082</v>
      </c>
      <c r="Q185" s="9" t="s">
        <v>1024</v>
      </c>
      <c r="R185" s="9" t="s">
        <v>833</v>
      </c>
      <c r="S185" s="9" t="s">
        <v>91</v>
      </c>
      <c r="T185" s="12" t="n">
        <v>46324</v>
      </c>
      <c r="U185" s="10" t="s">
        <v>1278</v>
      </c>
    </row>
    <row r="186" customFormat="false" ht="23.85" hidden="false" customHeight="false" outlineLevel="0" collapsed="false">
      <c r="A186" s="9" t="s">
        <v>1279</v>
      </c>
      <c r="B186" s="10" t="s">
        <v>1280</v>
      </c>
      <c r="C186" s="9" t="s">
        <v>1017</v>
      </c>
      <c r="D186" s="9" t="s">
        <v>1018</v>
      </c>
      <c r="E186" s="9" t="s">
        <v>1028</v>
      </c>
      <c r="F186" s="9" t="s">
        <v>103</v>
      </c>
      <c r="G186" s="10" t="s">
        <v>1281</v>
      </c>
      <c r="H186" s="11" t="s">
        <v>1282</v>
      </c>
      <c r="I186" s="10" t="s">
        <v>1283</v>
      </c>
      <c r="J186" s="9" t="s">
        <v>148</v>
      </c>
      <c r="K186" s="9" t="s">
        <v>458</v>
      </c>
      <c r="L186" s="10" t="s">
        <v>1033</v>
      </c>
      <c r="M186" s="9" t="s">
        <v>742</v>
      </c>
      <c r="N186" s="12" t="n">
        <v>46664</v>
      </c>
      <c r="O186" s="12" t="n">
        <v>46667</v>
      </c>
      <c r="P186" s="9" t="s">
        <v>1127</v>
      </c>
      <c r="Q186" s="9" t="s">
        <v>1024</v>
      </c>
      <c r="R186" s="9" t="s">
        <v>833</v>
      </c>
      <c r="S186" s="9" t="s">
        <v>91</v>
      </c>
      <c r="T186" s="12" t="n">
        <v>46324</v>
      </c>
      <c r="U186" s="10" t="s">
        <v>1284</v>
      </c>
    </row>
    <row r="187" customFormat="false" ht="35.05" hidden="false" customHeight="false" outlineLevel="0" collapsed="false">
      <c r="A187" s="9" t="s">
        <v>1285</v>
      </c>
      <c r="B187" s="10" t="s">
        <v>1286</v>
      </c>
      <c r="C187" s="9" t="s">
        <v>1017</v>
      </c>
      <c r="D187" s="9" t="s">
        <v>1018</v>
      </c>
      <c r="E187" s="9" t="s">
        <v>1028</v>
      </c>
      <c r="F187" s="9" t="s">
        <v>138</v>
      </c>
      <c r="G187" s="10" t="s">
        <v>1287</v>
      </c>
      <c r="H187" s="11" t="s">
        <v>1288</v>
      </c>
      <c r="I187" s="10" t="s">
        <v>1289</v>
      </c>
      <c r="J187" s="9" t="s">
        <v>430</v>
      </c>
      <c r="K187" s="9" t="s">
        <v>482</v>
      </c>
      <c r="L187" s="10" t="s">
        <v>1033</v>
      </c>
      <c r="M187" s="9" t="s">
        <v>742</v>
      </c>
      <c r="N187" s="9"/>
      <c r="O187" s="9"/>
      <c r="P187" s="9" t="s">
        <v>1290</v>
      </c>
      <c r="Q187" s="9" t="s">
        <v>1291</v>
      </c>
      <c r="R187" s="9" t="s">
        <v>90</v>
      </c>
      <c r="S187" s="9" t="s">
        <v>91</v>
      </c>
      <c r="T187" s="12" t="n">
        <v>46324</v>
      </c>
      <c r="U187" s="10" t="s">
        <v>1292</v>
      </c>
    </row>
    <row r="188" customFormat="false" ht="35.05" hidden="false" customHeight="false" outlineLevel="0" collapsed="false">
      <c r="A188" s="9" t="s">
        <v>1293</v>
      </c>
      <c r="B188" s="10" t="s">
        <v>1294</v>
      </c>
      <c r="C188" s="9" t="s">
        <v>1295</v>
      </c>
      <c r="D188" s="9" t="s">
        <v>1296</v>
      </c>
      <c r="E188" s="9" t="s">
        <v>1297</v>
      </c>
      <c r="F188" s="9" t="s">
        <v>1298</v>
      </c>
      <c r="G188" s="10" t="s">
        <v>1299</v>
      </c>
      <c r="H188" s="11" t="s">
        <v>1300</v>
      </c>
      <c r="I188" s="10" t="s">
        <v>1301</v>
      </c>
      <c r="J188" s="9" t="s">
        <v>430</v>
      </c>
      <c r="K188" s="9" t="s">
        <v>458</v>
      </c>
      <c r="L188" s="10" t="s">
        <v>87</v>
      </c>
      <c r="M188" s="9" t="s">
        <v>88</v>
      </c>
      <c r="N188" s="9"/>
      <c r="O188" s="9"/>
      <c r="P188" s="9"/>
      <c r="Q188" s="9" t="s">
        <v>327</v>
      </c>
      <c r="R188" s="9" t="s">
        <v>833</v>
      </c>
      <c r="S188" s="9" t="s">
        <v>167</v>
      </c>
      <c r="T188" s="12" t="n">
        <v>46324</v>
      </c>
      <c r="U188" s="10" t="s">
        <v>1302</v>
      </c>
    </row>
    <row r="189" customFormat="false" ht="23.85" hidden="false" customHeight="false" outlineLevel="0" collapsed="false">
      <c r="A189" s="9" t="s">
        <v>1303</v>
      </c>
      <c r="B189" s="10" t="s">
        <v>1304</v>
      </c>
      <c r="C189" s="9" t="s">
        <v>1295</v>
      </c>
      <c r="D189" s="9" t="s">
        <v>1296</v>
      </c>
      <c r="E189" s="9" t="s">
        <v>1305</v>
      </c>
      <c r="F189" s="9" t="s">
        <v>1306</v>
      </c>
      <c r="G189" s="10" t="s">
        <v>1307</v>
      </c>
      <c r="H189" s="11" t="s">
        <v>1308</v>
      </c>
      <c r="I189" s="10" t="s">
        <v>1309</v>
      </c>
      <c r="J189" s="9" t="s">
        <v>86</v>
      </c>
      <c r="K189" s="9" t="s">
        <v>458</v>
      </c>
      <c r="L189" s="10" t="s">
        <v>87</v>
      </c>
      <c r="M189" s="9" t="s">
        <v>88</v>
      </c>
      <c r="N189" s="9"/>
      <c r="O189" s="9"/>
      <c r="P189" s="9"/>
      <c r="Q189" s="9" t="s">
        <v>327</v>
      </c>
      <c r="R189" s="9" t="s">
        <v>833</v>
      </c>
      <c r="S189" s="9" t="s">
        <v>91</v>
      </c>
      <c r="T189" s="12" t="n">
        <v>46324</v>
      </c>
      <c r="U189" s="10" t="s">
        <v>1310</v>
      </c>
    </row>
    <row r="190" customFormat="false" ht="23.85" hidden="false" customHeight="false" outlineLevel="0" collapsed="false">
      <c r="A190" s="9" t="s">
        <v>1311</v>
      </c>
      <c r="B190" s="10" t="s">
        <v>1312</v>
      </c>
      <c r="C190" s="9" t="s">
        <v>1295</v>
      </c>
      <c r="D190" s="9" t="s">
        <v>1296</v>
      </c>
      <c r="E190" s="9" t="s">
        <v>1313</v>
      </c>
      <c r="F190" s="9" t="s">
        <v>1298</v>
      </c>
      <c r="G190" s="10" t="s">
        <v>1314</v>
      </c>
      <c r="H190" s="11" t="s">
        <v>1315</v>
      </c>
      <c r="I190" s="10" t="s">
        <v>1316</v>
      </c>
      <c r="J190" s="9" t="s">
        <v>430</v>
      </c>
      <c r="K190" s="9" t="s">
        <v>458</v>
      </c>
      <c r="L190" s="10" t="s">
        <v>87</v>
      </c>
      <c r="M190" s="9" t="s">
        <v>88</v>
      </c>
      <c r="N190" s="9"/>
      <c r="O190" s="9"/>
      <c r="P190" s="9"/>
      <c r="Q190" s="9" t="s">
        <v>327</v>
      </c>
      <c r="R190" s="9" t="s">
        <v>833</v>
      </c>
      <c r="S190" s="9" t="s">
        <v>167</v>
      </c>
      <c r="T190" s="12" t="n">
        <v>46324</v>
      </c>
      <c r="U190" s="10" t="s">
        <v>1317</v>
      </c>
    </row>
    <row r="191" customFormat="false" ht="23.85" hidden="false" customHeight="false" outlineLevel="0" collapsed="false">
      <c r="A191" s="9" t="s">
        <v>1318</v>
      </c>
      <c r="B191" s="10" t="s">
        <v>1319</v>
      </c>
      <c r="C191" s="9" t="s">
        <v>1295</v>
      </c>
      <c r="D191" s="9" t="s">
        <v>1296</v>
      </c>
      <c r="E191" s="9" t="s">
        <v>1320</v>
      </c>
      <c r="F191" s="9" t="s">
        <v>138</v>
      </c>
      <c r="G191" s="10" t="s">
        <v>1321</v>
      </c>
      <c r="H191" s="11" t="s">
        <v>1322</v>
      </c>
      <c r="I191" s="10" t="s">
        <v>649</v>
      </c>
      <c r="J191" s="9" t="s">
        <v>148</v>
      </c>
      <c r="K191" s="9" t="s">
        <v>458</v>
      </c>
      <c r="L191" s="10" t="s">
        <v>1323</v>
      </c>
      <c r="M191" s="9" t="s">
        <v>88</v>
      </c>
      <c r="N191" s="9"/>
      <c r="O191" s="9"/>
      <c r="P191" s="9"/>
      <c r="Q191" s="9" t="s">
        <v>327</v>
      </c>
      <c r="R191" s="9" t="s">
        <v>90</v>
      </c>
      <c r="S191" s="9" t="s">
        <v>91</v>
      </c>
      <c r="T191" s="12" t="n">
        <v>46324</v>
      </c>
      <c r="U191" s="10" t="s">
        <v>1324</v>
      </c>
    </row>
    <row r="192" customFormat="false" ht="23.85" hidden="false" customHeight="false" outlineLevel="0" collapsed="false">
      <c r="A192" s="9" t="s">
        <v>1325</v>
      </c>
      <c r="B192" s="10" t="s">
        <v>1326</v>
      </c>
      <c r="C192" s="9" t="s">
        <v>1295</v>
      </c>
      <c r="D192" s="9" t="s">
        <v>1296</v>
      </c>
      <c r="E192" s="9" t="s">
        <v>1320</v>
      </c>
      <c r="F192" s="9" t="s">
        <v>585</v>
      </c>
      <c r="G192" s="10" t="s">
        <v>1327</v>
      </c>
      <c r="H192" s="11" t="s">
        <v>1328</v>
      </c>
      <c r="I192" s="10" t="s">
        <v>649</v>
      </c>
      <c r="J192" s="9" t="s">
        <v>430</v>
      </c>
      <c r="K192" s="9" t="s">
        <v>458</v>
      </c>
      <c r="L192" s="10" t="s">
        <v>1323</v>
      </c>
      <c r="M192" s="9" t="s">
        <v>88</v>
      </c>
      <c r="N192" s="9"/>
      <c r="O192" s="9"/>
      <c r="P192" s="9"/>
      <c r="Q192" s="9" t="s">
        <v>327</v>
      </c>
      <c r="R192" s="9" t="s">
        <v>90</v>
      </c>
      <c r="S192" s="9" t="s">
        <v>91</v>
      </c>
      <c r="T192" s="12" t="n">
        <v>46324</v>
      </c>
      <c r="U192" s="10" t="s">
        <v>1329</v>
      </c>
    </row>
    <row r="193" customFormat="false" ht="23.85" hidden="false" customHeight="false" outlineLevel="0" collapsed="false">
      <c r="A193" s="9" t="s">
        <v>1330</v>
      </c>
      <c r="B193" s="10" t="s">
        <v>1331</v>
      </c>
      <c r="C193" s="9" t="s">
        <v>1295</v>
      </c>
      <c r="D193" s="9" t="s">
        <v>1296</v>
      </c>
      <c r="E193" s="9" t="s">
        <v>1320</v>
      </c>
      <c r="F193" s="9" t="s">
        <v>585</v>
      </c>
      <c r="G193" s="10" t="s">
        <v>1332</v>
      </c>
      <c r="H193" s="11" t="s">
        <v>1333</v>
      </c>
      <c r="I193" s="10" t="s">
        <v>649</v>
      </c>
      <c r="J193" s="9" t="s">
        <v>148</v>
      </c>
      <c r="K193" s="9" t="s">
        <v>458</v>
      </c>
      <c r="L193" s="10" t="s">
        <v>1323</v>
      </c>
      <c r="M193" s="9" t="s">
        <v>88</v>
      </c>
      <c r="N193" s="9"/>
      <c r="O193" s="9"/>
      <c r="P193" s="9"/>
      <c r="Q193" s="9" t="s">
        <v>327</v>
      </c>
      <c r="R193" s="9" t="s">
        <v>90</v>
      </c>
      <c r="S193" s="9" t="s">
        <v>91</v>
      </c>
      <c r="T193" s="12" t="n">
        <v>46324</v>
      </c>
      <c r="U193" s="10" t="s">
        <v>1334</v>
      </c>
    </row>
    <row r="194" customFormat="false" ht="23.85" hidden="false" customHeight="false" outlineLevel="0" collapsed="false">
      <c r="A194" s="9" t="s">
        <v>1335</v>
      </c>
      <c r="B194" s="10" t="s">
        <v>1336</v>
      </c>
      <c r="C194" s="9" t="s">
        <v>1295</v>
      </c>
      <c r="D194" s="9" t="s">
        <v>1296</v>
      </c>
      <c r="E194" s="9" t="s">
        <v>1337</v>
      </c>
      <c r="F194" s="9" t="s">
        <v>138</v>
      </c>
      <c r="G194" s="10" t="s">
        <v>1338</v>
      </c>
      <c r="H194" s="11" t="s">
        <v>1339</v>
      </c>
      <c r="I194" s="10" t="s">
        <v>649</v>
      </c>
      <c r="J194" s="9" t="s">
        <v>430</v>
      </c>
      <c r="K194" s="9" t="s">
        <v>458</v>
      </c>
      <c r="L194" s="10" t="s">
        <v>87</v>
      </c>
      <c r="M194" s="9" t="s">
        <v>88</v>
      </c>
      <c r="N194" s="9"/>
      <c r="O194" s="9"/>
      <c r="P194" s="9"/>
      <c r="Q194" s="9" t="s">
        <v>327</v>
      </c>
      <c r="R194" s="9" t="s">
        <v>90</v>
      </c>
      <c r="S194" s="9" t="s">
        <v>91</v>
      </c>
      <c r="T194" s="12" t="n">
        <v>46324</v>
      </c>
      <c r="U194" s="10" t="s">
        <v>1340</v>
      </c>
    </row>
    <row r="195" customFormat="false" ht="23.85" hidden="false" customHeight="false" outlineLevel="0" collapsed="false">
      <c r="A195" s="9" t="s">
        <v>1341</v>
      </c>
      <c r="B195" s="10" t="s">
        <v>1342</v>
      </c>
      <c r="C195" s="9" t="s">
        <v>1295</v>
      </c>
      <c r="D195" s="9" t="s">
        <v>1296</v>
      </c>
      <c r="E195" s="9" t="s">
        <v>1343</v>
      </c>
      <c r="F195" s="9" t="s">
        <v>103</v>
      </c>
      <c r="G195" s="10" t="s">
        <v>1344</v>
      </c>
      <c r="H195" s="11" t="s">
        <v>1345</v>
      </c>
      <c r="I195" s="10" t="s">
        <v>625</v>
      </c>
      <c r="J195" s="9" t="s">
        <v>430</v>
      </c>
      <c r="K195" s="9" t="s">
        <v>458</v>
      </c>
      <c r="L195" s="10" t="s">
        <v>87</v>
      </c>
      <c r="M195" s="9" t="s">
        <v>88</v>
      </c>
      <c r="N195" s="9"/>
      <c r="O195" s="9"/>
      <c r="P195" s="9"/>
      <c r="Q195" s="9" t="s">
        <v>327</v>
      </c>
      <c r="R195" s="9" t="s">
        <v>90</v>
      </c>
      <c r="S195" s="9" t="s">
        <v>91</v>
      </c>
      <c r="T195" s="12" t="n">
        <v>46324</v>
      </c>
      <c r="U195" s="10" t="s">
        <v>1346</v>
      </c>
    </row>
    <row r="196" customFormat="false" ht="23.85" hidden="false" customHeight="false" outlineLevel="0" collapsed="false">
      <c r="A196" s="9" t="s">
        <v>1347</v>
      </c>
      <c r="B196" s="10" t="s">
        <v>1348</v>
      </c>
      <c r="C196" s="9" t="s">
        <v>1295</v>
      </c>
      <c r="D196" s="9" t="s">
        <v>1296</v>
      </c>
      <c r="E196" s="9" t="s">
        <v>1337</v>
      </c>
      <c r="F196" s="9" t="s">
        <v>138</v>
      </c>
      <c r="G196" s="10" t="s">
        <v>1349</v>
      </c>
      <c r="H196" s="11" t="s">
        <v>1350</v>
      </c>
      <c r="I196" s="10" t="s">
        <v>1351</v>
      </c>
      <c r="J196" s="9" t="s">
        <v>86</v>
      </c>
      <c r="K196" s="9" t="s">
        <v>458</v>
      </c>
      <c r="L196" s="10" t="s">
        <v>87</v>
      </c>
      <c r="M196" s="9" t="s">
        <v>88</v>
      </c>
      <c r="N196" s="9"/>
      <c r="O196" s="9"/>
      <c r="P196" s="9"/>
      <c r="Q196" s="9" t="s">
        <v>327</v>
      </c>
      <c r="R196" s="9" t="s">
        <v>90</v>
      </c>
      <c r="S196" s="9" t="s">
        <v>167</v>
      </c>
      <c r="T196" s="12" t="n">
        <v>46324</v>
      </c>
      <c r="U196" s="10" t="s">
        <v>1352</v>
      </c>
    </row>
    <row r="197" customFormat="false" ht="35.05" hidden="false" customHeight="false" outlineLevel="0" collapsed="false">
      <c r="A197" s="9" t="s">
        <v>1353</v>
      </c>
      <c r="B197" s="10" t="s">
        <v>1354</v>
      </c>
      <c r="C197" s="9" t="s">
        <v>1295</v>
      </c>
      <c r="D197" s="9" t="s">
        <v>1296</v>
      </c>
      <c r="E197" s="9" t="s">
        <v>1320</v>
      </c>
      <c r="F197" s="9" t="s">
        <v>82</v>
      </c>
      <c r="G197" s="10" t="s">
        <v>1355</v>
      </c>
      <c r="H197" s="11" t="s">
        <v>1356</v>
      </c>
      <c r="I197" s="10" t="s">
        <v>1357</v>
      </c>
      <c r="J197" s="9" t="s">
        <v>86</v>
      </c>
      <c r="K197" s="9" t="s">
        <v>458</v>
      </c>
      <c r="L197" s="10" t="s">
        <v>87</v>
      </c>
      <c r="M197" s="9" t="s">
        <v>88</v>
      </c>
      <c r="N197" s="9"/>
      <c r="O197" s="9"/>
      <c r="P197" s="9"/>
      <c r="Q197" s="9" t="s">
        <v>327</v>
      </c>
      <c r="R197" s="9" t="s">
        <v>90</v>
      </c>
      <c r="S197" s="9" t="s">
        <v>91</v>
      </c>
      <c r="T197" s="12" t="n">
        <v>46324</v>
      </c>
      <c r="U197" s="10" t="s">
        <v>1358</v>
      </c>
    </row>
    <row r="198" customFormat="false" ht="35.05" hidden="false" customHeight="false" outlineLevel="0" collapsed="false">
      <c r="A198" s="9" t="s">
        <v>1359</v>
      </c>
      <c r="B198" s="10" t="s">
        <v>1360</v>
      </c>
      <c r="C198" s="9" t="s">
        <v>1295</v>
      </c>
      <c r="D198" s="9" t="s">
        <v>1296</v>
      </c>
      <c r="E198" s="9" t="s">
        <v>1337</v>
      </c>
      <c r="F198" s="9" t="s">
        <v>138</v>
      </c>
      <c r="G198" s="10" t="s">
        <v>1361</v>
      </c>
      <c r="H198" s="11" t="s">
        <v>1362</v>
      </c>
      <c r="I198" s="10" t="s">
        <v>1363</v>
      </c>
      <c r="J198" s="9" t="s">
        <v>430</v>
      </c>
      <c r="K198" s="9" t="s">
        <v>458</v>
      </c>
      <c r="L198" s="10" t="s">
        <v>87</v>
      </c>
      <c r="M198" s="9" t="s">
        <v>88</v>
      </c>
      <c r="N198" s="9"/>
      <c r="O198" s="9"/>
      <c r="P198" s="9"/>
      <c r="Q198" s="9" t="s">
        <v>327</v>
      </c>
      <c r="R198" s="9" t="s">
        <v>90</v>
      </c>
      <c r="S198" s="9" t="s">
        <v>91</v>
      </c>
      <c r="T198" s="12" t="n">
        <v>46324</v>
      </c>
      <c r="U198" s="10" t="s">
        <v>1364</v>
      </c>
    </row>
    <row r="199" customFormat="false" ht="23.85" hidden="false" customHeight="false" outlineLevel="0" collapsed="false">
      <c r="A199" s="9" t="s">
        <v>1365</v>
      </c>
      <c r="B199" s="10" t="s">
        <v>1366</v>
      </c>
      <c r="C199" s="9" t="s">
        <v>1295</v>
      </c>
      <c r="D199" s="9" t="s">
        <v>1296</v>
      </c>
      <c r="E199" s="9" t="s">
        <v>1337</v>
      </c>
      <c r="F199" s="9" t="s">
        <v>585</v>
      </c>
      <c r="G199" s="10" t="s">
        <v>1367</v>
      </c>
      <c r="H199" s="11" t="s">
        <v>1368</v>
      </c>
      <c r="I199" s="10" t="s">
        <v>588</v>
      </c>
      <c r="J199" s="9" t="s">
        <v>430</v>
      </c>
      <c r="K199" s="9" t="s">
        <v>458</v>
      </c>
      <c r="L199" s="10" t="s">
        <v>87</v>
      </c>
      <c r="M199" s="9" t="s">
        <v>88</v>
      </c>
      <c r="N199" s="9"/>
      <c r="O199" s="9"/>
      <c r="P199" s="9"/>
      <c r="Q199" s="9" t="s">
        <v>327</v>
      </c>
      <c r="R199" s="9" t="s">
        <v>90</v>
      </c>
      <c r="S199" s="9" t="s">
        <v>91</v>
      </c>
      <c r="T199" s="12" t="n">
        <v>46324</v>
      </c>
      <c r="U199" s="10" t="s">
        <v>1369</v>
      </c>
    </row>
    <row r="200" customFormat="false" ht="23.85" hidden="false" customHeight="false" outlineLevel="0" collapsed="false">
      <c r="A200" s="9" t="s">
        <v>1370</v>
      </c>
      <c r="B200" s="10" t="s">
        <v>1371</v>
      </c>
      <c r="C200" s="9" t="s">
        <v>1295</v>
      </c>
      <c r="D200" s="9" t="s">
        <v>1296</v>
      </c>
      <c r="E200" s="9" t="s">
        <v>1343</v>
      </c>
      <c r="F200" s="9" t="s">
        <v>95</v>
      </c>
      <c r="G200" s="10" t="s">
        <v>1372</v>
      </c>
      <c r="H200" s="11" t="s">
        <v>1373</v>
      </c>
      <c r="I200" s="10" t="s">
        <v>1374</v>
      </c>
      <c r="J200" s="9" t="s">
        <v>430</v>
      </c>
      <c r="K200" s="9" t="s">
        <v>458</v>
      </c>
      <c r="L200" s="10" t="s">
        <v>87</v>
      </c>
      <c r="M200" s="9" t="s">
        <v>88</v>
      </c>
      <c r="N200" s="9"/>
      <c r="O200" s="9"/>
      <c r="P200" s="9"/>
      <c r="Q200" s="9" t="s">
        <v>327</v>
      </c>
      <c r="R200" s="9" t="s">
        <v>90</v>
      </c>
      <c r="S200" s="9" t="s">
        <v>91</v>
      </c>
      <c r="T200" s="12" t="n">
        <v>46324</v>
      </c>
      <c r="U200" s="10" t="s">
        <v>1375</v>
      </c>
    </row>
    <row r="201" customFormat="false" ht="23.85" hidden="false" customHeight="false" outlineLevel="0" collapsed="false">
      <c r="A201" s="9" t="s">
        <v>1376</v>
      </c>
      <c r="B201" s="10" t="s">
        <v>1377</v>
      </c>
      <c r="C201" s="9" t="s">
        <v>1295</v>
      </c>
      <c r="D201" s="9" t="s">
        <v>1296</v>
      </c>
      <c r="E201" s="9" t="s">
        <v>1337</v>
      </c>
      <c r="F201" s="9" t="s">
        <v>95</v>
      </c>
      <c r="G201" s="10" t="s">
        <v>1378</v>
      </c>
      <c r="H201" s="11" t="s">
        <v>1379</v>
      </c>
      <c r="I201" s="10" t="s">
        <v>1380</v>
      </c>
      <c r="J201" s="9" t="s">
        <v>430</v>
      </c>
      <c r="K201" s="9" t="s">
        <v>458</v>
      </c>
      <c r="L201" s="10" t="s">
        <v>87</v>
      </c>
      <c r="M201" s="9" t="s">
        <v>88</v>
      </c>
      <c r="N201" s="9"/>
      <c r="O201" s="9"/>
      <c r="P201" s="9"/>
      <c r="Q201" s="9" t="s">
        <v>327</v>
      </c>
      <c r="R201" s="9" t="s">
        <v>90</v>
      </c>
      <c r="S201" s="9" t="s">
        <v>91</v>
      </c>
      <c r="T201" s="12" t="n">
        <v>46324</v>
      </c>
      <c r="U201" s="10" t="s">
        <v>1381</v>
      </c>
    </row>
    <row r="202" customFormat="false" ht="23.85" hidden="false" customHeight="false" outlineLevel="0" collapsed="false">
      <c r="A202" s="9" t="s">
        <v>1382</v>
      </c>
      <c r="B202" s="10" t="s">
        <v>1383</v>
      </c>
      <c r="C202" s="9" t="s">
        <v>1295</v>
      </c>
      <c r="D202" s="9" t="s">
        <v>1296</v>
      </c>
      <c r="E202" s="9" t="s">
        <v>1343</v>
      </c>
      <c r="F202" s="9" t="s">
        <v>103</v>
      </c>
      <c r="G202" s="10" t="s">
        <v>1384</v>
      </c>
      <c r="H202" s="11" t="s">
        <v>1385</v>
      </c>
      <c r="I202" s="10" t="s">
        <v>1386</v>
      </c>
      <c r="J202" s="9" t="s">
        <v>430</v>
      </c>
      <c r="K202" s="9" t="s">
        <v>458</v>
      </c>
      <c r="L202" s="10" t="s">
        <v>87</v>
      </c>
      <c r="M202" s="9" t="s">
        <v>88</v>
      </c>
      <c r="N202" s="9"/>
      <c r="O202" s="9"/>
      <c r="P202" s="9"/>
      <c r="Q202" s="9" t="s">
        <v>327</v>
      </c>
      <c r="R202" s="9" t="s">
        <v>90</v>
      </c>
      <c r="S202" s="9" t="s">
        <v>91</v>
      </c>
      <c r="T202" s="12" t="n">
        <v>46324</v>
      </c>
      <c r="U202" s="10" t="s">
        <v>1387</v>
      </c>
    </row>
    <row r="203" customFormat="false" ht="35.05" hidden="false" customHeight="false" outlineLevel="0" collapsed="false">
      <c r="A203" s="9" t="s">
        <v>1388</v>
      </c>
      <c r="B203" s="10" t="s">
        <v>1389</v>
      </c>
      <c r="C203" s="9" t="s">
        <v>1295</v>
      </c>
      <c r="D203" s="9" t="s">
        <v>1296</v>
      </c>
      <c r="E203" s="9" t="s">
        <v>1343</v>
      </c>
      <c r="F203" s="9" t="s">
        <v>152</v>
      </c>
      <c r="G203" s="10" t="s">
        <v>1390</v>
      </c>
      <c r="H203" s="11" t="s">
        <v>1391</v>
      </c>
      <c r="I203" s="10" t="s">
        <v>1392</v>
      </c>
      <c r="J203" s="9" t="s">
        <v>430</v>
      </c>
      <c r="K203" s="9" t="s">
        <v>458</v>
      </c>
      <c r="L203" s="10" t="s">
        <v>87</v>
      </c>
      <c r="M203" s="9" t="s">
        <v>88</v>
      </c>
      <c r="N203" s="9"/>
      <c r="O203" s="9"/>
      <c r="P203" s="9"/>
      <c r="Q203" s="9" t="s">
        <v>327</v>
      </c>
      <c r="R203" s="9" t="s">
        <v>90</v>
      </c>
      <c r="S203" s="9" t="s">
        <v>167</v>
      </c>
      <c r="T203" s="12" t="n">
        <v>46324</v>
      </c>
      <c r="U203" s="10" t="s">
        <v>1393</v>
      </c>
    </row>
    <row r="204" customFormat="false" ht="35.05" hidden="false" customHeight="false" outlineLevel="0" collapsed="false">
      <c r="A204" s="9" t="s">
        <v>1394</v>
      </c>
      <c r="B204" s="10" t="s">
        <v>1395</v>
      </c>
      <c r="C204" s="9" t="s">
        <v>1295</v>
      </c>
      <c r="D204" s="9" t="s">
        <v>1296</v>
      </c>
      <c r="E204" s="9" t="s">
        <v>1343</v>
      </c>
      <c r="F204" s="9" t="s">
        <v>103</v>
      </c>
      <c r="G204" s="10" t="s">
        <v>1396</v>
      </c>
      <c r="H204" s="11" t="s">
        <v>1397</v>
      </c>
      <c r="I204" s="10" t="s">
        <v>1398</v>
      </c>
      <c r="J204" s="9" t="s">
        <v>86</v>
      </c>
      <c r="K204" s="9" t="s">
        <v>458</v>
      </c>
      <c r="L204" s="10" t="s">
        <v>87</v>
      </c>
      <c r="M204" s="9" t="s">
        <v>88</v>
      </c>
      <c r="N204" s="9"/>
      <c r="O204" s="9"/>
      <c r="P204" s="9"/>
      <c r="Q204" s="9" t="s">
        <v>327</v>
      </c>
      <c r="R204" s="9" t="s">
        <v>90</v>
      </c>
      <c r="S204" s="9" t="s">
        <v>91</v>
      </c>
      <c r="T204" s="12" t="n">
        <v>46324</v>
      </c>
      <c r="U204" s="10" t="s">
        <v>1399</v>
      </c>
    </row>
    <row r="205" customFormat="false" ht="35.05" hidden="false" customHeight="false" outlineLevel="0" collapsed="false">
      <c r="A205" s="9" t="s">
        <v>1400</v>
      </c>
      <c r="B205" s="10" t="s">
        <v>1401</v>
      </c>
      <c r="C205" s="9" t="s">
        <v>1295</v>
      </c>
      <c r="D205" s="9" t="s">
        <v>1296</v>
      </c>
      <c r="E205" s="9" t="s">
        <v>1337</v>
      </c>
      <c r="F205" s="9" t="s">
        <v>103</v>
      </c>
      <c r="G205" s="10" t="s">
        <v>1402</v>
      </c>
      <c r="H205" s="11" t="s">
        <v>1403</v>
      </c>
      <c r="I205" s="10" t="s">
        <v>1404</v>
      </c>
      <c r="J205" s="9" t="s">
        <v>148</v>
      </c>
      <c r="K205" s="9" t="s">
        <v>458</v>
      </c>
      <c r="L205" s="10" t="s">
        <v>87</v>
      </c>
      <c r="M205" s="9" t="s">
        <v>88</v>
      </c>
      <c r="N205" s="9"/>
      <c r="O205" s="9"/>
      <c r="P205" s="9"/>
      <c r="Q205" s="9" t="s">
        <v>327</v>
      </c>
      <c r="R205" s="9" t="s">
        <v>90</v>
      </c>
      <c r="S205" s="9" t="s">
        <v>91</v>
      </c>
      <c r="T205" s="12" t="n">
        <v>46324</v>
      </c>
      <c r="U205" s="10" t="s">
        <v>1405</v>
      </c>
    </row>
    <row r="206" customFormat="false" ht="23.85" hidden="false" customHeight="false" outlineLevel="0" collapsed="false">
      <c r="A206" s="9" t="s">
        <v>1406</v>
      </c>
      <c r="B206" s="10" t="s">
        <v>1407</v>
      </c>
      <c r="C206" s="9" t="s">
        <v>1295</v>
      </c>
      <c r="D206" s="9" t="s">
        <v>1296</v>
      </c>
      <c r="E206" s="9" t="s">
        <v>1313</v>
      </c>
      <c r="F206" s="9" t="s">
        <v>1408</v>
      </c>
      <c r="G206" s="10" t="s">
        <v>1409</v>
      </c>
      <c r="H206" s="11" t="s">
        <v>1410</v>
      </c>
      <c r="I206" s="10" t="s">
        <v>1411</v>
      </c>
      <c r="J206" s="9" t="s">
        <v>430</v>
      </c>
      <c r="K206" s="9" t="s">
        <v>458</v>
      </c>
      <c r="L206" s="10" t="s">
        <v>87</v>
      </c>
      <c r="M206" s="9" t="s">
        <v>88</v>
      </c>
      <c r="N206" s="9"/>
      <c r="O206" s="9"/>
      <c r="P206" s="9"/>
      <c r="Q206" s="9" t="s">
        <v>327</v>
      </c>
      <c r="R206" s="9" t="s">
        <v>90</v>
      </c>
      <c r="S206" s="9" t="s">
        <v>167</v>
      </c>
      <c r="T206" s="12" t="n">
        <v>46324</v>
      </c>
      <c r="U206" s="10"/>
    </row>
    <row r="207" customFormat="false" ht="23.85" hidden="false" customHeight="false" outlineLevel="0" collapsed="false">
      <c r="A207" s="9" t="s">
        <v>1412</v>
      </c>
      <c r="B207" s="10" t="s">
        <v>1413</v>
      </c>
      <c r="C207" s="9" t="s">
        <v>1295</v>
      </c>
      <c r="D207" s="9" t="s">
        <v>1296</v>
      </c>
      <c r="E207" s="9" t="s">
        <v>1313</v>
      </c>
      <c r="F207" s="9" t="s">
        <v>440</v>
      </c>
      <c r="G207" s="10" t="s">
        <v>1414</v>
      </c>
      <c r="H207" s="11" t="s">
        <v>1415</v>
      </c>
      <c r="I207" s="10" t="s">
        <v>1416</v>
      </c>
      <c r="J207" s="9" t="s">
        <v>430</v>
      </c>
      <c r="K207" s="9" t="s">
        <v>458</v>
      </c>
      <c r="L207" s="10" t="s">
        <v>87</v>
      </c>
      <c r="M207" s="9" t="s">
        <v>88</v>
      </c>
      <c r="N207" s="9"/>
      <c r="O207" s="9"/>
      <c r="P207" s="9"/>
      <c r="Q207" s="9" t="s">
        <v>327</v>
      </c>
      <c r="R207" s="9" t="s">
        <v>90</v>
      </c>
      <c r="S207" s="9" t="s">
        <v>91</v>
      </c>
      <c r="T207" s="12" t="n">
        <v>46324</v>
      </c>
      <c r="U207" s="10" t="s">
        <v>1417</v>
      </c>
    </row>
    <row r="208" customFormat="false" ht="23.85" hidden="false" customHeight="false" outlineLevel="0" collapsed="false">
      <c r="A208" s="9" t="s">
        <v>1418</v>
      </c>
      <c r="B208" s="10" t="s">
        <v>1419</v>
      </c>
      <c r="C208" s="9" t="s">
        <v>1295</v>
      </c>
      <c r="D208" s="9" t="s">
        <v>1296</v>
      </c>
      <c r="E208" s="9" t="s">
        <v>1337</v>
      </c>
      <c r="F208" s="9" t="s">
        <v>818</v>
      </c>
      <c r="G208" s="10" t="s">
        <v>1420</v>
      </c>
      <c r="H208" s="11" t="s">
        <v>1421</v>
      </c>
      <c r="I208" s="10" t="s">
        <v>1422</v>
      </c>
      <c r="J208" s="9" t="s">
        <v>148</v>
      </c>
      <c r="K208" s="9" t="s">
        <v>458</v>
      </c>
      <c r="L208" s="10" t="s">
        <v>87</v>
      </c>
      <c r="M208" s="9" t="s">
        <v>88</v>
      </c>
      <c r="N208" s="9"/>
      <c r="O208" s="9"/>
      <c r="P208" s="9"/>
      <c r="Q208" s="9" t="s">
        <v>327</v>
      </c>
      <c r="R208" s="9" t="s">
        <v>90</v>
      </c>
      <c r="S208" s="9" t="s">
        <v>167</v>
      </c>
      <c r="T208" s="12" t="n">
        <v>46324</v>
      </c>
      <c r="U208" s="10" t="s">
        <v>1423</v>
      </c>
    </row>
    <row r="209" customFormat="false" ht="23.85" hidden="false" customHeight="false" outlineLevel="0" collapsed="false">
      <c r="A209" s="9" t="s">
        <v>1424</v>
      </c>
      <c r="B209" s="10" t="s">
        <v>1425</v>
      </c>
      <c r="C209" s="9" t="s">
        <v>1295</v>
      </c>
      <c r="D209" s="9" t="s">
        <v>1296</v>
      </c>
      <c r="E209" s="9" t="s">
        <v>1337</v>
      </c>
      <c r="F209" s="9" t="s">
        <v>1426</v>
      </c>
      <c r="G209" s="10" t="s">
        <v>1427</v>
      </c>
      <c r="H209" s="11" t="s">
        <v>1428</v>
      </c>
      <c r="I209" s="10" t="s">
        <v>1309</v>
      </c>
      <c r="J209" s="9" t="s">
        <v>86</v>
      </c>
      <c r="K209" s="9" t="s">
        <v>458</v>
      </c>
      <c r="L209" s="10" t="s">
        <v>87</v>
      </c>
      <c r="M209" s="9" t="s">
        <v>88</v>
      </c>
      <c r="N209" s="9"/>
      <c r="O209" s="9"/>
      <c r="P209" s="9"/>
      <c r="Q209" s="9" t="s">
        <v>327</v>
      </c>
      <c r="R209" s="9" t="s">
        <v>90</v>
      </c>
      <c r="S209" s="9" t="s">
        <v>91</v>
      </c>
      <c r="T209" s="12" t="n">
        <v>46324</v>
      </c>
      <c r="U209" s="10" t="s">
        <v>1429</v>
      </c>
    </row>
    <row r="210" customFormat="false" ht="35.05" hidden="false" customHeight="false" outlineLevel="0" collapsed="false">
      <c r="A210" s="9" t="s">
        <v>1430</v>
      </c>
      <c r="B210" s="10" t="s">
        <v>1431</v>
      </c>
      <c r="C210" s="9" t="s">
        <v>1295</v>
      </c>
      <c r="D210" s="9" t="s">
        <v>1296</v>
      </c>
      <c r="E210" s="9" t="s">
        <v>1337</v>
      </c>
      <c r="F210" s="9" t="s">
        <v>144</v>
      </c>
      <c r="G210" s="10" t="s">
        <v>1432</v>
      </c>
      <c r="H210" s="11" t="s">
        <v>1433</v>
      </c>
      <c r="I210" s="10" t="s">
        <v>1434</v>
      </c>
      <c r="J210" s="9" t="s">
        <v>148</v>
      </c>
      <c r="K210" s="9" t="s">
        <v>458</v>
      </c>
      <c r="L210" s="10" t="s">
        <v>607</v>
      </c>
      <c r="M210" s="9" t="s">
        <v>88</v>
      </c>
      <c r="N210" s="9"/>
      <c r="O210" s="9"/>
      <c r="P210" s="9"/>
      <c r="Q210" s="9" t="s">
        <v>327</v>
      </c>
      <c r="R210" s="9" t="s">
        <v>90</v>
      </c>
      <c r="S210" s="9" t="s">
        <v>91</v>
      </c>
      <c r="T210" s="12" t="n">
        <v>46324</v>
      </c>
      <c r="U210" s="10" t="s">
        <v>1435</v>
      </c>
    </row>
    <row r="211" customFormat="false" ht="23.85" hidden="false" customHeight="false" outlineLevel="0" collapsed="false">
      <c r="A211" s="9" t="s">
        <v>1436</v>
      </c>
      <c r="B211" s="10" t="s">
        <v>1437</v>
      </c>
      <c r="C211" s="9" t="s">
        <v>1295</v>
      </c>
      <c r="D211" s="9" t="s">
        <v>1296</v>
      </c>
      <c r="E211" s="9" t="s">
        <v>1337</v>
      </c>
      <c r="F211" s="9" t="s">
        <v>138</v>
      </c>
      <c r="G211" s="10" t="s">
        <v>1438</v>
      </c>
      <c r="H211" s="11" t="s">
        <v>1439</v>
      </c>
      <c r="I211" s="10" t="s">
        <v>1440</v>
      </c>
      <c r="J211" s="9" t="s">
        <v>430</v>
      </c>
      <c r="K211" s="9" t="s">
        <v>458</v>
      </c>
      <c r="L211" s="10" t="s">
        <v>87</v>
      </c>
      <c r="M211" s="9" t="s">
        <v>88</v>
      </c>
      <c r="N211" s="9"/>
      <c r="O211" s="9"/>
      <c r="P211" s="9"/>
      <c r="Q211" s="9" t="s">
        <v>327</v>
      </c>
      <c r="R211" s="9" t="s">
        <v>90</v>
      </c>
      <c r="S211" s="9" t="s">
        <v>1441</v>
      </c>
      <c r="T211" s="9"/>
      <c r="U211" s="10" t="s">
        <v>1442</v>
      </c>
    </row>
    <row r="212" customFormat="false" ht="23.85" hidden="false" customHeight="false" outlineLevel="0" collapsed="false">
      <c r="A212" s="9" t="s">
        <v>1443</v>
      </c>
      <c r="B212" s="10" t="s">
        <v>1444</v>
      </c>
      <c r="C212" s="9" t="s">
        <v>1295</v>
      </c>
      <c r="D212" s="9" t="s">
        <v>1296</v>
      </c>
      <c r="E212" s="9" t="s">
        <v>1337</v>
      </c>
      <c r="F212" s="9" t="s">
        <v>103</v>
      </c>
      <c r="G212" s="10" t="s">
        <v>1445</v>
      </c>
      <c r="H212" s="11" t="s">
        <v>1446</v>
      </c>
      <c r="I212" s="10" t="s">
        <v>1447</v>
      </c>
      <c r="J212" s="9" t="s">
        <v>430</v>
      </c>
      <c r="K212" s="9" t="s">
        <v>458</v>
      </c>
      <c r="L212" s="10" t="s">
        <v>87</v>
      </c>
      <c r="M212" s="9" t="s">
        <v>88</v>
      </c>
      <c r="N212" s="9"/>
      <c r="O212" s="9"/>
      <c r="P212" s="9"/>
      <c r="Q212" s="9" t="s">
        <v>327</v>
      </c>
      <c r="R212" s="9" t="s">
        <v>90</v>
      </c>
      <c r="S212" s="9" t="s">
        <v>91</v>
      </c>
      <c r="T212" s="12" t="n">
        <v>46324</v>
      </c>
      <c r="U212" s="10" t="s">
        <v>1448</v>
      </c>
    </row>
    <row r="213" customFormat="false" ht="23.85" hidden="false" customHeight="false" outlineLevel="0" collapsed="false">
      <c r="A213" s="9" t="s">
        <v>1449</v>
      </c>
      <c r="B213" s="10" t="s">
        <v>1450</v>
      </c>
      <c r="C213" s="9" t="s">
        <v>1295</v>
      </c>
      <c r="D213" s="9" t="s">
        <v>1296</v>
      </c>
      <c r="E213" s="9" t="s">
        <v>1451</v>
      </c>
      <c r="F213" s="9" t="s">
        <v>585</v>
      </c>
      <c r="G213" s="10" t="s">
        <v>1452</v>
      </c>
      <c r="H213" s="11" t="s">
        <v>1453</v>
      </c>
      <c r="I213" s="10" t="s">
        <v>1450</v>
      </c>
      <c r="J213" s="9" t="s">
        <v>86</v>
      </c>
      <c r="K213" s="9" t="s">
        <v>458</v>
      </c>
      <c r="L213" s="10" t="s">
        <v>87</v>
      </c>
      <c r="M213" s="9" t="s">
        <v>88</v>
      </c>
      <c r="N213" s="9"/>
      <c r="O213" s="9"/>
      <c r="P213" s="9"/>
      <c r="Q213" s="9" t="s">
        <v>327</v>
      </c>
      <c r="R213" s="9" t="s">
        <v>90</v>
      </c>
      <c r="S213" s="9" t="s">
        <v>91</v>
      </c>
      <c r="T213" s="12" t="n">
        <v>46324</v>
      </c>
      <c r="U213" s="10" t="s">
        <v>1454</v>
      </c>
    </row>
    <row r="214" customFormat="false" ht="35.05" hidden="false" customHeight="false" outlineLevel="0" collapsed="false">
      <c r="A214" s="9" t="s">
        <v>1455</v>
      </c>
      <c r="B214" s="10" t="s">
        <v>1456</v>
      </c>
      <c r="C214" s="9" t="s">
        <v>1295</v>
      </c>
      <c r="D214" s="9" t="s">
        <v>1296</v>
      </c>
      <c r="E214" s="9" t="s">
        <v>1451</v>
      </c>
      <c r="F214" s="9" t="s">
        <v>561</v>
      </c>
      <c r="G214" s="10" t="s">
        <v>1457</v>
      </c>
      <c r="H214" s="11" t="s">
        <v>1458</v>
      </c>
      <c r="I214" s="10" t="s">
        <v>1459</v>
      </c>
      <c r="J214" s="9" t="s">
        <v>148</v>
      </c>
      <c r="K214" s="9" t="s">
        <v>458</v>
      </c>
      <c r="L214" s="10" t="s">
        <v>87</v>
      </c>
      <c r="M214" s="9" t="s">
        <v>88</v>
      </c>
      <c r="N214" s="9"/>
      <c r="O214" s="9"/>
      <c r="P214" s="9"/>
      <c r="Q214" s="9" t="s">
        <v>327</v>
      </c>
      <c r="R214" s="9" t="s">
        <v>90</v>
      </c>
      <c r="S214" s="9" t="s">
        <v>91</v>
      </c>
      <c r="T214" s="12" t="n">
        <v>46324</v>
      </c>
      <c r="U214" s="10" t="s">
        <v>1460</v>
      </c>
    </row>
    <row r="215" customFormat="false" ht="46.25" hidden="false" customHeight="false" outlineLevel="0" collapsed="false">
      <c r="A215" s="9" t="s">
        <v>1461</v>
      </c>
      <c r="B215" s="10" t="s">
        <v>1462</v>
      </c>
      <c r="C215" s="9" t="s">
        <v>1463</v>
      </c>
      <c r="D215" s="9" t="s">
        <v>1464</v>
      </c>
      <c r="E215" s="9" t="s">
        <v>1465</v>
      </c>
      <c r="F215" s="9" t="s">
        <v>259</v>
      </c>
      <c r="G215" s="10" t="s">
        <v>1466</v>
      </c>
      <c r="H215" s="11" t="s">
        <v>1467</v>
      </c>
      <c r="I215" s="10" t="s">
        <v>1468</v>
      </c>
      <c r="J215" s="9" t="s">
        <v>430</v>
      </c>
      <c r="K215" s="9" t="s">
        <v>458</v>
      </c>
      <c r="L215" s="10" t="s">
        <v>607</v>
      </c>
      <c r="M215" s="9" t="s">
        <v>1469</v>
      </c>
      <c r="N215" s="9"/>
      <c r="O215" s="9"/>
      <c r="P215" s="9"/>
      <c r="Q215" s="9" t="s">
        <v>327</v>
      </c>
      <c r="R215" s="9" t="s">
        <v>90</v>
      </c>
      <c r="S215" s="9" t="s">
        <v>91</v>
      </c>
      <c r="T215" s="12" t="n">
        <v>46324</v>
      </c>
      <c r="U215" s="10" t="s">
        <v>1470</v>
      </c>
    </row>
    <row r="216" customFormat="false" ht="23.85" hidden="false" customHeight="false" outlineLevel="0" collapsed="false">
      <c r="A216" s="9" t="s">
        <v>1471</v>
      </c>
      <c r="B216" s="10" t="s">
        <v>1472</v>
      </c>
      <c r="C216" s="9" t="s">
        <v>1463</v>
      </c>
      <c r="D216" s="9" t="s">
        <v>1464</v>
      </c>
      <c r="E216" s="9" t="s">
        <v>1473</v>
      </c>
      <c r="F216" s="9" t="s">
        <v>1474</v>
      </c>
      <c r="G216" s="10" t="s">
        <v>1475</v>
      </c>
      <c r="H216" s="11" t="s">
        <v>1476</v>
      </c>
      <c r="I216" s="10" t="s">
        <v>1477</v>
      </c>
      <c r="J216" s="9" t="s">
        <v>1478</v>
      </c>
      <c r="K216" s="9" t="s">
        <v>474</v>
      </c>
      <c r="L216" s="10" t="s">
        <v>87</v>
      </c>
      <c r="M216" s="9" t="s">
        <v>88</v>
      </c>
      <c r="N216" s="9"/>
      <c r="O216" s="9"/>
      <c r="P216" s="9"/>
      <c r="Q216" s="9" t="s">
        <v>327</v>
      </c>
      <c r="R216" s="9" t="s">
        <v>90</v>
      </c>
      <c r="S216" s="9" t="s">
        <v>91</v>
      </c>
      <c r="T216" s="12" t="n">
        <v>46324</v>
      </c>
      <c r="U216" s="10" t="s">
        <v>1479</v>
      </c>
    </row>
    <row r="217" customFormat="false" ht="23.85" hidden="false" customHeight="false" outlineLevel="0" collapsed="false">
      <c r="A217" s="9" t="s">
        <v>1480</v>
      </c>
      <c r="B217" s="10" t="s">
        <v>1481</v>
      </c>
      <c r="C217" s="9" t="s">
        <v>1463</v>
      </c>
      <c r="D217" s="9" t="s">
        <v>1464</v>
      </c>
      <c r="E217" s="9" t="s">
        <v>1473</v>
      </c>
      <c r="F217" s="9" t="s">
        <v>1482</v>
      </c>
      <c r="G217" s="10" t="s">
        <v>1483</v>
      </c>
      <c r="H217" s="11" t="s">
        <v>1484</v>
      </c>
      <c r="I217" s="10" t="s">
        <v>1481</v>
      </c>
      <c r="J217" s="9" t="s">
        <v>430</v>
      </c>
      <c r="K217" s="9" t="s">
        <v>458</v>
      </c>
      <c r="L217" s="10" t="s">
        <v>87</v>
      </c>
      <c r="M217" s="9" t="s">
        <v>88</v>
      </c>
      <c r="N217" s="9"/>
      <c r="O217" s="9"/>
      <c r="P217" s="9"/>
      <c r="Q217" s="9" t="s">
        <v>327</v>
      </c>
      <c r="R217" s="9" t="s">
        <v>90</v>
      </c>
      <c r="S217" s="9" t="s">
        <v>167</v>
      </c>
      <c r="T217" s="12" t="n">
        <v>46324</v>
      </c>
      <c r="U217" s="10" t="s">
        <v>1485</v>
      </c>
    </row>
    <row r="218" customFormat="false" ht="23.85" hidden="false" customHeight="false" outlineLevel="0" collapsed="false">
      <c r="A218" s="9" t="s">
        <v>1486</v>
      </c>
      <c r="B218" s="10" t="s">
        <v>1487</v>
      </c>
      <c r="C218" s="9" t="s">
        <v>1463</v>
      </c>
      <c r="D218" s="9" t="s">
        <v>1464</v>
      </c>
      <c r="E218" s="9" t="s">
        <v>1473</v>
      </c>
      <c r="F218" s="9" t="s">
        <v>152</v>
      </c>
      <c r="G218" s="10" t="s">
        <v>1488</v>
      </c>
      <c r="H218" s="11" t="s">
        <v>1489</v>
      </c>
      <c r="I218" s="10" t="s">
        <v>1490</v>
      </c>
      <c r="J218" s="9" t="s">
        <v>430</v>
      </c>
      <c r="K218" s="9" t="s">
        <v>458</v>
      </c>
      <c r="L218" s="10" t="s">
        <v>87</v>
      </c>
      <c r="M218" s="9" t="s">
        <v>88</v>
      </c>
      <c r="N218" s="9"/>
      <c r="O218" s="9"/>
      <c r="P218" s="9"/>
      <c r="Q218" s="9" t="s">
        <v>327</v>
      </c>
      <c r="R218" s="9" t="s">
        <v>90</v>
      </c>
      <c r="S218" s="9" t="s">
        <v>91</v>
      </c>
      <c r="T218" s="12" t="n">
        <v>46324</v>
      </c>
      <c r="U218" s="10" t="s">
        <v>1491</v>
      </c>
    </row>
    <row r="219" customFormat="false" ht="23.85" hidden="false" customHeight="false" outlineLevel="0" collapsed="false">
      <c r="A219" s="9" t="s">
        <v>1492</v>
      </c>
      <c r="B219" s="10" t="s">
        <v>1493</v>
      </c>
      <c r="C219" s="9" t="s">
        <v>1463</v>
      </c>
      <c r="D219" s="9" t="s">
        <v>1464</v>
      </c>
      <c r="E219" s="9" t="s">
        <v>1494</v>
      </c>
      <c r="F219" s="9" t="s">
        <v>103</v>
      </c>
      <c r="G219" s="10" t="s">
        <v>1495</v>
      </c>
      <c r="H219" s="11" t="s">
        <v>1496</v>
      </c>
      <c r="I219" s="10" t="s">
        <v>1497</v>
      </c>
      <c r="J219" s="9" t="s">
        <v>430</v>
      </c>
      <c r="K219" s="9" t="s">
        <v>458</v>
      </c>
      <c r="L219" s="10" t="s">
        <v>87</v>
      </c>
      <c r="M219" s="9" t="s">
        <v>88</v>
      </c>
      <c r="N219" s="9"/>
      <c r="O219" s="9"/>
      <c r="P219" s="9"/>
      <c r="Q219" s="9" t="s">
        <v>327</v>
      </c>
      <c r="R219" s="9" t="s">
        <v>90</v>
      </c>
      <c r="S219" s="9" t="s">
        <v>91</v>
      </c>
      <c r="T219" s="12" t="n">
        <v>46324</v>
      </c>
      <c r="U219" s="10" t="s">
        <v>1498</v>
      </c>
    </row>
    <row r="220" customFormat="false" ht="15" hidden="false" customHeight="false" outlineLevel="0" collapsed="false">
      <c r="A220" s="9" t="s">
        <v>1499</v>
      </c>
      <c r="B220" s="10" t="s">
        <v>1500</v>
      </c>
      <c r="C220" s="9" t="s">
        <v>1463</v>
      </c>
      <c r="D220" s="9" t="s">
        <v>1464</v>
      </c>
      <c r="E220" s="9" t="s">
        <v>1473</v>
      </c>
      <c r="F220" s="9" t="s">
        <v>103</v>
      </c>
      <c r="G220" s="10" t="s">
        <v>1501</v>
      </c>
      <c r="H220" s="11" t="s">
        <v>1502</v>
      </c>
      <c r="I220" s="10" t="s">
        <v>1503</v>
      </c>
      <c r="J220" s="9" t="s">
        <v>430</v>
      </c>
      <c r="K220" s="9" t="s">
        <v>474</v>
      </c>
      <c r="L220" s="10" t="s">
        <v>87</v>
      </c>
      <c r="M220" s="9" t="s">
        <v>88</v>
      </c>
      <c r="N220" s="9"/>
      <c r="O220" s="9"/>
      <c r="P220" s="9"/>
      <c r="Q220" s="9" t="s">
        <v>327</v>
      </c>
      <c r="R220" s="9" t="s">
        <v>90</v>
      </c>
      <c r="S220" s="9" t="s">
        <v>167</v>
      </c>
      <c r="T220" s="12" t="n">
        <v>46324</v>
      </c>
      <c r="U220" s="10" t="s">
        <v>1504</v>
      </c>
    </row>
    <row r="221" customFormat="false" ht="23.85" hidden="false" customHeight="false" outlineLevel="0" collapsed="false">
      <c r="A221" s="9" t="s">
        <v>1505</v>
      </c>
      <c r="B221" s="10" t="s">
        <v>1506</v>
      </c>
      <c r="C221" s="9" t="s">
        <v>1463</v>
      </c>
      <c r="D221" s="9" t="s">
        <v>1464</v>
      </c>
      <c r="E221" s="9" t="s">
        <v>1473</v>
      </c>
      <c r="F221" s="9" t="s">
        <v>103</v>
      </c>
      <c r="G221" s="10" t="s">
        <v>1507</v>
      </c>
      <c r="H221" s="11" t="s">
        <v>1508</v>
      </c>
      <c r="I221" s="10" t="s">
        <v>1506</v>
      </c>
      <c r="J221" s="9" t="s">
        <v>430</v>
      </c>
      <c r="K221" s="9" t="s">
        <v>458</v>
      </c>
      <c r="L221" s="10" t="s">
        <v>87</v>
      </c>
      <c r="M221" s="9" t="s">
        <v>88</v>
      </c>
      <c r="N221" s="9"/>
      <c r="O221" s="9"/>
      <c r="P221" s="9"/>
      <c r="Q221" s="9" t="s">
        <v>327</v>
      </c>
      <c r="R221" s="9" t="s">
        <v>90</v>
      </c>
      <c r="S221" s="9" t="s">
        <v>167</v>
      </c>
      <c r="T221" s="12" t="n">
        <v>46324</v>
      </c>
      <c r="U221" s="10" t="s">
        <v>1509</v>
      </c>
    </row>
    <row r="222" customFormat="false" ht="23.85" hidden="false" customHeight="false" outlineLevel="0" collapsed="false">
      <c r="A222" s="9" t="s">
        <v>1510</v>
      </c>
      <c r="B222" s="10" t="s">
        <v>1511</v>
      </c>
      <c r="C222" s="9" t="s">
        <v>1463</v>
      </c>
      <c r="D222" s="9" t="s">
        <v>1464</v>
      </c>
      <c r="E222" s="9" t="s">
        <v>1465</v>
      </c>
      <c r="F222" s="9" t="s">
        <v>103</v>
      </c>
      <c r="G222" s="10" t="s">
        <v>1512</v>
      </c>
      <c r="H222" s="11" t="s">
        <v>1513</v>
      </c>
      <c r="I222" s="10" t="s">
        <v>1514</v>
      </c>
      <c r="J222" s="9" t="s">
        <v>430</v>
      </c>
      <c r="K222" s="9" t="s">
        <v>474</v>
      </c>
      <c r="L222" s="10" t="s">
        <v>87</v>
      </c>
      <c r="M222" s="9" t="s">
        <v>1469</v>
      </c>
      <c r="N222" s="9"/>
      <c r="O222" s="9"/>
      <c r="P222" s="9"/>
      <c r="Q222" s="9" t="s">
        <v>327</v>
      </c>
      <c r="R222" s="9" t="s">
        <v>90</v>
      </c>
      <c r="S222" s="9" t="s">
        <v>167</v>
      </c>
      <c r="T222" s="12" t="n">
        <v>46324</v>
      </c>
      <c r="U222" s="10" t="s">
        <v>1515</v>
      </c>
    </row>
    <row r="223" customFormat="false" ht="15" hidden="false" customHeight="false" outlineLevel="0" collapsed="false">
      <c r="A223" s="9" t="s">
        <v>1516</v>
      </c>
      <c r="B223" s="10" t="s">
        <v>1517</v>
      </c>
      <c r="C223" s="9" t="s">
        <v>1463</v>
      </c>
      <c r="D223" s="9" t="s">
        <v>1464</v>
      </c>
      <c r="E223" s="9" t="s">
        <v>1473</v>
      </c>
      <c r="F223" s="9" t="s">
        <v>752</v>
      </c>
      <c r="G223" s="10" t="s">
        <v>1518</v>
      </c>
      <c r="H223" s="11" t="s">
        <v>1519</v>
      </c>
      <c r="I223" s="10" t="s">
        <v>1520</v>
      </c>
      <c r="J223" s="9" t="s">
        <v>1478</v>
      </c>
      <c r="K223" s="9" t="s">
        <v>458</v>
      </c>
      <c r="L223" s="10" t="s">
        <v>87</v>
      </c>
      <c r="M223" s="9" t="s">
        <v>88</v>
      </c>
      <c r="N223" s="9"/>
      <c r="O223" s="9"/>
      <c r="P223" s="9"/>
      <c r="Q223" s="9" t="s">
        <v>327</v>
      </c>
      <c r="R223" s="9" t="s">
        <v>90</v>
      </c>
      <c r="S223" s="9" t="s">
        <v>91</v>
      </c>
      <c r="T223" s="12" t="n">
        <v>46324</v>
      </c>
      <c r="U223" s="10" t="s">
        <v>1521</v>
      </c>
    </row>
    <row r="224" customFormat="false" ht="23.85" hidden="false" customHeight="false" outlineLevel="0" collapsed="false">
      <c r="A224" s="9" t="s">
        <v>1522</v>
      </c>
      <c r="B224" s="10" t="s">
        <v>1523</v>
      </c>
      <c r="C224" s="9" t="s">
        <v>1463</v>
      </c>
      <c r="D224" s="9" t="s">
        <v>1464</v>
      </c>
      <c r="E224" s="9" t="s">
        <v>1494</v>
      </c>
      <c r="F224" s="9" t="s">
        <v>152</v>
      </c>
      <c r="G224" s="10" t="s">
        <v>1524</v>
      </c>
      <c r="H224" s="11" t="s">
        <v>1525</v>
      </c>
      <c r="I224" s="10" t="s">
        <v>1526</v>
      </c>
      <c r="J224" s="9" t="s">
        <v>430</v>
      </c>
      <c r="K224" s="9" t="s">
        <v>458</v>
      </c>
      <c r="L224" s="10" t="s">
        <v>87</v>
      </c>
      <c r="M224" s="9" t="s">
        <v>88</v>
      </c>
      <c r="N224" s="9"/>
      <c r="O224" s="9"/>
      <c r="P224" s="9"/>
      <c r="Q224" s="9" t="s">
        <v>327</v>
      </c>
      <c r="R224" s="9" t="s">
        <v>90</v>
      </c>
      <c r="S224" s="9" t="s">
        <v>91</v>
      </c>
      <c r="T224" s="12" t="n">
        <v>46324</v>
      </c>
      <c r="U224" s="10" t="s">
        <v>1527</v>
      </c>
    </row>
    <row r="225" customFormat="false" ht="23.85" hidden="false" customHeight="false" outlineLevel="0" collapsed="false">
      <c r="A225" s="9" t="s">
        <v>1528</v>
      </c>
      <c r="B225" s="10" t="s">
        <v>1529</v>
      </c>
      <c r="C225" s="9" t="s">
        <v>1463</v>
      </c>
      <c r="D225" s="9" t="s">
        <v>1464</v>
      </c>
      <c r="E225" s="9" t="s">
        <v>1465</v>
      </c>
      <c r="F225" s="9" t="s">
        <v>95</v>
      </c>
      <c r="G225" s="10" t="s">
        <v>1530</v>
      </c>
      <c r="H225" s="11" t="s">
        <v>1531</v>
      </c>
      <c r="I225" s="10" t="s">
        <v>1532</v>
      </c>
      <c r="J225" s="9" t="s">
        <v>430</v>
      </c>
      <c r="K225" s="9" t="s">
        <v>474</v>
      </c>
      <c r="L225" s="10" t="s">
        <v>87</v>
      </c>
      <c r="M225" s="9" t="s">
        <v>1469</v>
      </c>
      <c r="N225" s="9"/>
      <c r="O225" s="9"/>
      <c r="P225" s="9"/>
      <c r="Q225" s="9" t="s">
        <v>327</v>
      </c>
      <c r="R225" s="9" t="s">
        <v>90</v>
      </c>
      <c r="S225" s="9" t="s">
        <v>91</v>
      </c>
      <c r="T225" s="12" t="n">
        <v>46324</v>
      </c>
      <c r="U225" s="10" t="s">
        <v>1533</v>
      </c>
    </row>
    <row r="226" customFormat="false" ht="23.85" hidden="false" customHeight="false" outlineLevel="0" collapsed="false">
      <c r="A226" s="9" t="s">
        <v>1534</v>
      </c>
      <c r="B226" s="10" t="s">
        <v>1535</v>
      </c>
      <c r="C226" s="9" t="s">
        <v>1463</v>
      </c>
      <c r="D226" s="9" t="s">
        <v>1464</v>
      </c>
      <c r="E226" s="9" t="s">
        <v>1465</v>
      </c>
      <c r="F226" s="9" t="s">
        <v>585</v>
      </c>
      <c r="G226" s="10" t="s">
        <v>1536</v>
      </c>
      <c r="H226" s="11" t="s">
        <v>1537</v>
      </c>
      <c r="I226" s="10" t="s">
        <v>1535</v>
      </c>
      <c r="J226" s="9" t="s">
        <v>430</v>
      </c>
      <c r="K226" s="9" t="s">
        <v>458</v>
      </c>
      <c r="L226" s="10" t="s">
        <v>607</v>
      </c>
      <c r="M226" s="9" t="s">
        <v>1469</v>
      </c>
      <c r="N226" s="9"/>
      <c r="O226" s="9"/>
      <c r="P226" s="9"/>
      <c r="Q226" s="9" t="s">
        <v>327</v>
      </c>
      <c r="R226" s="9" t="s">
        <v>90</v>
      </c>
      <c r="S226" s="9" t="s">
        <v>167</v>
      </c>
      <c r="T226" s="12" t="n">
        <v>46324</v>
      </c>
      <c r="U226" s="10" t="s">
        <v>1538</v>
      </c>
    </row>
    <row r="227" customFormat="false" ht="23.85" hidden="false" customHeight="false" outlineLevel="0" collapsed="false">
      <c r="A227" s="9" t="s">
        <v>1539</v>
      </c>
      <c r="B227" s="10" t="s">
        <v>1540</v>
      </c>
      <c r="C227" s="9" t="s">
        <v>1463</v>
      </c>
      <c r="D227" s="9" t="s">
        <v>1464</v>
      </c>
      <c r="E227" s="9" t="s">
        <v>1465</v>
      </c>
      <c r="F227" s="9" t="s">
        <v>585</v>
      </c>
      <c r="G227" s="10" t="s">
        <v>1541</v>
      </c>
      <c r="H227" s="11" t="s">
        <v>1542</v>
      </c>
      <c r="I227" s="10" t="s">
        <v>1543</v>
      </c>
      <c r="J227" s="9" t="s">
        <v>1544</v>
      </c>
      <c r="K227" s="9" t="s">
        <v>474</v>
      </c>
      <c r="L227" s="10" t="s">
        <v>87</v>
      </c>
      <c r="M227" s="9" t="s">
        <v>1469</v>
      </c>
      <c r="N227" s="9"/>
      <c r="O227" s="9"/>
      <c r="P227" s="9"/>
      <c r="Q227" s="9" t="s">
        <v>327</v>
      </c>
      <c r="R227" s="9" t="s">
        <v>90</v>
      </c>
      <c r="S227" s="9" t="s">
        <v>91</v>
      </c>
      <c r="T227" s="12" t="n">
        <v>46324</v>
      </c>
      <c r="U227" s="10" t="s">
        <v>1545</v>
      </c>
    </row>
    <row r="228" customFormat="false" ht="23.85" hidden="false" customHeight="false" outlineLevel="0" collapsed="false">
      <c r="A228" s="9" t="s">
        <v>1546</v>
      </c>
      <c r="B228" s="10" t="s">
        <v>1547</v>
      </c>
      <c r="C228" s="9" t="s">
        <v>1463</v>
      </c>
      <c r="D228" s="9" t="s">
        <v>1464</v>
      </c>
      <c r="E228" s="9" t="s">
        <v>1473</v>
      </c>
      <c r="F228" s="9" t="s">
        <v>1157</v>
      </c>
      <c r="G228" s="10" t="s">
        <v>1548</v>
      </c>
      <c r="H228" s="11" t="s">
        <v>1549</v>
      </c>
      <c r="I228" s="10" t="s">
        <v>1550</v>
      </c>
      <c r="J228" s="9" t="s">
        <v>430</v>
      </c>
      <c r="K228" s="9" t="s">
        <v>482</v>
      </c>
      <c r="L228" s="10" t="s">
        <v>1551</v>
      </c>
      <c r="M228" s="9" t="s">
        <v>88</v>
      </c>
      <c r="N228" s="9"/>
      <c r="O228" s="9"/>
      <c r="P228" s="9"/>
      <c r="Q228" s="9" t="s">
        <v>327</v>
      </c>
      <c r="R228" s="9" t="s">
        <v>90</v>
      </c>
      <c r="S228" s="9" t="s">
        <v>167</v>
      </c>
      <c r="T228" s="12" t="n">
        <v>46324</v>
      </c>
      <c r="U228" s="10" t="s">
        <v>1552</v>
      </c>
    </row>
    <row r="229" customFormat="false" ht="35.05" hidden="false" customHeight="false" outlineLevel="0" collapsed="false">
      <c r="A229" s="9" t="s">
        <v>1553</v>
      </c>
      <c r="B229" s="10" t="s">
        <v>1554</v>
      </c>
      <c r="C229" s="9" t="s">
        <v>1463</v>
      </c>
      <c r="D229" s="9" t="s">
        <v>1464</v>
      </c>
      <c r="E229" s="9" t="s">
        <v>1473</v>
      </c>
      <c r="F229" s="9" t="s">
        <v>1482</v>
      </c>
      <c r="G229" s="10" t="s">
        <v>1555</v>
      </c>
      <c r="H229" s="11" t="s">
        <v>1556</v>
      </c>
      <c r="I229" s="10" t="s">
        <v>1554</v>
      </c>
      <c r="J229" s="9" t="s">
        <v>1544</v>
      </c>
      <c r="K229" s="9" t="s">
        <v>458</v>
      </c>
      <c r="L229" s="10" t="s">
        <v>607</v>
      </c>
      <c r="M229" s="9" t="s">
        <v>88</v>
      </c>
      <c r="N229" s="9"/>
      <c r="O229" s="9"/>
      <c r="P229" s="9"/>
      <c r="Q229" s="9" t="s">
        <v>327</v>
      </c>
      <c r="R229" s="9" t="s">
        <v>90</v>
      </c>
      <c r="S229" s="9" t="s">
        <v>1441</v>
      </c>
      <c r="T229" s="9"/>
      <c r="U229" s="10" t="s">
        <v>1557</v>
      </c>
    </row>
    <row r="230" customFormat="false" ht="23.85" hidden="false" customHeight="false" outlineLevel="0" collapsed="false">
      <c r="A230" s="9" t="s">
        <v>1558</v>
      </c>
      <c r="B230" s="10" t="s">
        <v>1559</v>
      </c>
      <c r="C230" s="9" t="s">
        <v>1463</v>
      </c>
      <c r="D230" s="9" t="s">
        <v>1464</v>
      </c>
      <c r="E230" s="9" t="s">
        <v>1494</v>
      </c>
      <c r="F230" s="9" t="s">
        <v>184</v>
      </c>
      <c r="G230" s="10" t="s">
        <v>1560</v>
      </c>
      <c r="H230" s="11" t="s">
        <v>1561</v>
      </c>
      <c r="I230" s="10" t="s">
        <v>1363</v>
      </c>
      <c r="J230" s="9" t="s">
        <v>430</v>
      </c>
      <c r="K230" s="9" t="s">
        <v>474</v>
      </c>
      <c r="L230" s="10" t="s">
        <v>87</v>
      </c>
      <c r="M230" s="9" t="s">
        <v>88</v>
      </c>
      <c r="N230" s="9"/>
      <c r="O230" s="9"/>
      <c r="P230" s="9"/>
      <c r="Q230" s="9" t="s">
        <v>327</v>
      </c>
      <c r="R230" s="9" t="s">
        <v>90</v>
      </c>
      <c r="S230" s="9" t="s">
        <v>167</v>
      </c>
      <c r="T230" s="12" t="n">
        <v>46324</v>
      </c>
      <c r="U230" s="10" t="s">
        <v>1562</v>
      </c>
    </row>
    <row r="231" customFormat="false" ht="35.05" hidden="false" customHeight="false" outlineLevel="0" collapsed="false">
      <c r="A231" s="9" t="s">
        <v>1563</v>
      </c>
      <c r="B231" s="10" t="s">
        <v>1564</v>
      </c>
      <c r="C231" s="9" t="s">
        <v>1463</v>
      </c>
      <c r="D231" s="9" t="s">
        <v>1464</v>
      </c>
      <c r="E231" s="9" t="s">
        <v>1494</v>
      </c>
      <c r="F231" s="9" t="s">
        <v>144</v>
      </c>
      <c r="G231" s="10" t="s">
        <v>1565</v>
      </c>
      <c r="H231" s="11" t="s">
        <v>1566</v>
      </c>
      <c r="I231" s="10" t="s">
        <v>1567</v>
      </c>
      <c r="J231" s="9" t="s">
        <v>430</v>
      </c>
      <c r="K231" s="9" t="s">
        <v>474</v>
      </c>
      <c r="L231" s="10" t="s">
        <v>87</v>
      </c>
      <c r="M231" s="9" t="s">
        <v>88</v>
      </c>
      <c r="N231" s="9"/>
      <c r="O231" s="9"/>
      <c r="P231" s="9"/>
      <c r="Q231" s="9" t="s">
        <v>327</v>
      </c>
      <c r="R231" s="9" t="s">
        <v>90</v>
      </c>
      <c r="S231" s="9" t="s">
        <v>91</v>
      </c>
      <c r="T231" s="12" t="n">
        <v>46324</v>
      </c>
      <c r="U231" s="10" t="s">
        <v>1568</v>
      </c>
    </row>
    <row r="232" customFormat="false" ht="23.85" hidden="false" customHeight="false" outlineLevel="0" collapsed="false">
      <c r="A232" s="9" t="s">
        <v>1569</v>
      </c>
      <c r="B232" s="10" t="s">
        <v>1570</v>
      </c>
      <c r="C232" s="9" t="s">
        <v>1463</v>
      </c>
      <c r="D232" s="9" t="s">
        <v>1464</v>
      </c>
      <c r="E232" s="9" t="s">
        <v>1494</v>
      </c>
      <c r="F232" s="9" t="s">
        <v>184</v>
      </c>
      <c r="G232" s="10" t="s">
        <v>1571</v>
      </c>
      <c r="H232" s="11" t="s">
        <v>1572</v>
      </c>
      <c r="I232" s="10" t="s">
        <v>1573</v>
      </c>
      <c r="J232" s="9" t="s">
        <v>430</v>
      </c>
      <c r="K232" s="9" t="s">
        <v>474</v>
      </c>
      <c r="L232" s="10" t="s">
        <v>87</v>
      </c>
      <c r="M232" s="9" t="s">
        <v>88</v>
      </c>
      <c r="N232" s="9"/>
      <c r="O232" s="9"/>
      <c r="P232" s="9"/>
      <c r="Q232" s="9" t="s">
        <v>327</v>
      </c>
      <c r="R232" s="9" t="s">
        <v>90</v>
      </c>
      <c r="S232" s="9" t="s">
        <v>167</v>
      </c>
      <c r="T232" s="12" t="n">
        <v>46324</v>
      </c>
      <c r="U232" s="10" t="s">
        <v>1574</v>
      </c>
    </row>
    <row r="233" customFormat="false" ht="23.85" hidden="false" customHeight="false" outlineLevel="0" collapsed="false">
      <c r="A233" s="9" t="s">
        <v>1575</v>
      </c>
      <c r="B233" s="10" t="s">
        <v>1576</v>
      </c>
      <c r="C233" s="9" t="s">
        <v>1463</v>
      </c>
      <c r="D233" s="9" t="s">
        <v>1464</v>
      </c>
      <c r="E233" s="9" t="s">
        <v>1494</v>
      </c>
      <c r="F233" s="9" t="s">
        <v>138</v>
      </c>
      <c r="G233" s="10" t="s">
        <v>1577</v>
      </c>
      <c r="H233" s="11" t="s">
        <v>1578</v>
      </c>
      <c r="I233" s="10" t="s">
        <v>1351</v>
      </c>
      <c r="J233" s="9" t="s">
        <v>1544</v>
      </c>
      <c r="K233" s="9" t="s">
        <v>458</v>
      </c>
      <c r="L233" s="10" t="s">
        <v>87</v>
      </c>
      <c r="M233" s="9" t="s">
        <v>88</v>
      </c>
      <c r="N233" s="9"/>
      <c r="O233" s="9"/>
      <c r="P233" s="9"/>
      <c r="Q233" s="9" t="s">
        <v>327</v>
      </c>
      <c r="R233" s="9" t="s">
        <v>90</v>
      </c>
      <c r="S233" s="9" t="s">
        <v>167</v>
      </c>
      <c r="T233" s="12" t="n">
        <v>46324</v>
      </c>
      <c r="U233" s="10" t="s">
        <v>1579</v>
      </c>
    </row>
    <row r="234" customFormat="false" ht="23.85" hidden="false" customHeight="false" outlineLevel="0" collapsed="false">
      <c r="A234" s="9" t="s">
        <v>1580</v>
      </c>
      <c r="B234" s="10" t="s">
        <v>1581</v>
      </c>
      <c r="C234" s="9" t="s">
        <v>1463</v>
      </c>
      <c r="D234" s="9" t="s">
        <v>1464</v>
      </c>
      <c r="E234" s="9" t="s">
        <v>1473</v>
      </c>
      <c r="F234" s="9" t="s">
        <v>1298</v>
      </c>
      <c r="G234" s="10" t="s">
        <v>1582</v>
      </c>
      <c r="H234" s="11" t="s">
        <v>1583</v>
      </c>
      <c r="I234" s="10" t="s">
        <v>1581</v>
      </c>
      <c r="J234" s="9" t="s">
        <v>1104</v>
      </c>
      <c r="K234" s="9" t="s">
        <v>458</v>
      </c>
      <c r="L234" s="10" t="s">
        <v>87</v>
      </c>
      <c r="M234" s="9" t="s">
        <v>88</v>
      </c>
      <c r="N234" s="9"/>
      <c r="O234" s="9"/>
      <c r="P234" s="9"/>
      <c r="Q234" s="9" t="s">
        <v>327</v>
      </c>
      <c r="R234" s="9" t="s">
        <v>90</v>
      </c>
      <c r="S234" s="9" t="s">
        <v>91</v>
      </c>
      <c r="T234" s="12" t="n">
        <v>46324</v>
      </c>
      <c r="U234" s="10" t="s">
        <v>1584</v>
      </c>
    </row>
    <row r="235" customFormat="false" ht="15" hidden="false" customHeight="false" outlineLevel="0" collapsed="false">
      <c r="A235" s="9" t="s">
        <v>1585</v>
      </c>
      <c r="B235" s="10" t="s">
        <v>1586</v>
      </c>
      <c r="C235" s="9" t="s">
        <v>1463</v>
      </c>
      <c r="D235" s="9" t="s">
        <v>1464</v>
      </c>
      <c r="E235" s="9" t="s">
        <v>1473</v>
      </c>
      <c r="F235" s="9" t="s">
        <v>1298</v>
      </c>
      <c r="G235" s="10" t="s">
        <v>1587</v>
      </c>
      <c r="H235" s="11" t="s">
        <v>1588</v>
      </c>
      <c r="I235" s="10" t="s">
        <v>1586</v>
      </c>
      <c r="J235" s="9" t="s">
        <v>1104</v>
      </c>
      <c r="K235" s="9" t="s">
        <v>458</v>
      </c>
      <c r="L235" s="10" t="s">
        <v>87</v>
      </c>
      <c r="M235" s="9" t="s">
        <v>88</v>
      </c>
      <c r="N235" s="9"/>
      <c r="O235" s="9"/>
      <c r="P235" s="9"/>
      <c r="Q235" s="9" t="s">
        <v>327</v>
      </c>
      <c r="R235" s="9" t="s">
        <v>90</v>
      </c>
      <c r="S235" s="9" t="s">
        <v>91</v>
      </c>
      <c r="T235" s="12" t="n">
        <v>46324</v>
      </c>
      <c r="U235" s="10" t="s">
        <v>1589</v>
      </c>
    </row>
    <row r="236" customFormat="false" ht="15" hidden="false" customHeight="false" outlineLevel="0" collapsed="false">
      <c r="A236" s="9" t="s">
        <v>1590</v>
      </c>
      <c r="B236" s="10" t="s">
        <v>1591</v>
      </c>
      <c r="C236" s="9" t="s">
        <v>1463</v>
      </c>
      <c r="D236" s="9" t="s">
        <v>1464</v>
      </c>
      <c r="E236" s="9" t="s">
        <v>1465</v>
      </c>
      <c r="F236" s="9" t="s">
        <v>1592</v>
      </c>
      <c r="G236" s="10" t="s">
        <v>1593</v>
      </c>
      <c r="H236" s="11" t="s">
        <v>1594</v>
      </c>
      <c r="I236" s="10" t="s">
        <v>1595</v>
      </c>
      <c r="J236" s="9" t="s">
        <v>430</v>
      </c>
      <c r="K236" s="9" t="s">
        <v>458</v>
      </c>
      <c r="L236" s="10" t="s">
        <v>607</v>
      </c>
      <c r="M236" s="9" t="s">
        <v>1469</v>
      </c>
      <c r="N236" s="9"/>
      <c r="O236" s="9"/>
      <c r="P236" s="9"/>
      <c r="Q236" s="9" t="s">
        <v>327</v>
      </c>
      <c r="R236" s="9" t="s">
        <v>90</v>
      </c>
      <c r="S236" s="9" t="s">
        <v>167</v>
      </c>
      <c r="T236" s="12" t="n">
        <v>46324</v>
      </c>
      <c r="U236" s="10" t="s">
        <v>1596</v>
      </c>
    </row>
    <row r="237" customFormat="false" ht="23.85" hidden="false" customHeight="false" outlineLevel="0" collapsed="false">
      <c r="A237" s="9" t="s">
        <v>1597</v>
      </c>
      <c r="B237" s="10" t="s">
        <v>1598</v>
      </c>
      <c r="C237" s="9" t="s">
        <v>1599</v>
      </c>
      <c r="D237" s="9" t="s">
        <v>1600</v>
      </c>
      <c r="E237" s="9" t="s">
        <v>1601</v>
      </c>
      <c r="F237" s="9" t="s">
        <v>1602</v>
      </c>
      <c r="G237" s="10" t="s">
        <v>1603</v>
      </c>
      <c r="H237" s="11" t="s">
        <v>1604</v>
      </c>
      <c r="I237" s="10" t="s">
        <v>1605</v>
      </c>
      <c r="J237" s="9" t="s">
        <v>1478</v>
      </c>
      <c r="K237" s="9" t="s">
        <v>474</v>
      </c>
      <c r="L237" s="10" t="s">
        <v>87</v>
      </c>
      <c r="M237" s="9" t="s">
        <v>1606</v>
      </c>
      <c r="N237" s="9"/>
      <c r="O237" s="9"/>
      <c r="P237" s="9"/>
      <c r="Q237" s="9" t="s">
        <v>327</v>
      </c>
      <c r="R237" s="9" t="s">
        <v>833</v>
      </c>
      <c r="S237" s="9" t="s">
        <v>91</v>
      </c>
      <c r="T237" s="12" t="n">
        <v>46324</v>
      </c>
      <c r="U237" s="10" t="s">
        <v>1607</v>
      </c>
    </row>
    <row r="238" customFormat="false" ht="35.05" hidden="false" customHeight="false" outlineLevel="0" collapsed="false">
      <c r="A238" s="9" t="s">
        <v>1608</v>
      </c>
      <c r="B238" s="10" t="s">
        <v>1609</v>
      </c>
      <c r="C238" s="9" t="s">
        <v>1599</v>
      </c>
      <c r="D238" s="9" t="s">
        <v>1600</v>
      </c>
      <c r="E238" s="9" t="s">
        <v>1601</v>
      </c>
      <c r="F238" s="9" t="s">
        <v>259</v>
      </c>
      <c r="G238" s="10" t="s">
        <v>1610</v>
      </c>
      <c r="H238" s="11" t="s">
        <v>1611</v>
      </c>
      <c r="I238" s="10" t="s">
        <v>1612</v>
      </c>
      <c r="J238" s="9" t="s">
        <v>430</v>
      </c>
      <c r="K238" s="9" t="s">
        <v>474</v>
      </c>
      <c r="L238" s="10" t="s">
        <v>87</v>
      </c>
      <c r="M238" s="9" t="s">
        <v>1606</v>
      </c>
      <c r="N238" s="9"/>
      <c r="O238" s="9"/>
      <c r="P238" s="9"/>
      <c r="Q238" s="9" t="s">
        <v>327</v>
      </c>
      <c r="R238" s="9" t="s">
        <v>833</v>
      </c>
      <c r="S238" s="9" t="s">
        <v>91</v>
      </c>
      <c r="T238" s="12" t="n">
        <v>46324</v>
      </c>
      <c r="U238" s="10" t="s">
        <v>1613</v>
      </c>
    </row>
    <row r="239" customFormat="false" ht="23.85" hidden="false" customHeight="false" outlineLevel="0" collapsed="false">
      <c r="A239" s="9" t="s">
        <v>1614</v>
      </c>
      <c r="B239" s="10" t="s">
        <v>1615</v>
      </c>
      <c r="C239" s="9" t="s">
        <v>1599</v>
      </c>
      <c r="D239" s="9" t="s">
        <v>1600</v>
      </c>
      <c r="E239" s="9" t="s">
        <v>1601</v>
      </c>
      <c r="F239" s="9" t="s">
        <v>184</v>
      </c>
      <c r="G239" s="10" t="s">
        <v>1616</v>
      </c>
      <c r="H239" s="11" t="s">
        <v>1617</v>
      </c>
      <c r="I239" s="10" t="s">
        <v>1615</v>
      </c>
      <c r="J239" s="9" t="s">
        <v>430</v>
      </c>
      <c r="K239" s="9" t="s">
        <v>474</v>
      </c>
      <c r="L239" s="10" t="s">
        <v>87</v>
      </c>
      <c r="M239" s="9" t="s">
        <v>1606</v>
      </c>
      <c r="N239" s="9"/>
      <c r="O239" s="9"/>
      <c r="P239" s="9"/>
      <c r="Q239" s="9" t="s">
        <v>327</v>
      </c>
      <c r="R239" s="9" t="s">
        <v>833</v>
      </c>
      <c r="S239" s="9" t="s">
        <v>91</v>
      </c>
      <c r="T239" s="12" t="n">
        <v>46324</v>
      </c>
      <c r="U239" s="10" t="s">
        <v>1618</v>
      </c>
    </row>
    <row r="240" customFormat="false" ht="23.85" hidden="false" customHeight="false" outlineLevel="0" collapsed="false">
      <c r="A240" s="9" t="s">
        <v>1619</v>
      </c>
      <c r="B240" s="10" t="s">
        <v>1620</v>
      </c>
      <c r="C240" s="9" t="s">
        <v>1599</v>
      </c>
      <c r="D240" s="9" t="s">
        <v>1600</v>
      </c>
      <c r="E240" s="9" t="s">
        <v>1601</v>
      </c>
      <c r="F240" s="9" t="s">
        <v>259</v>
      </c>
      <c r="G240" s="10" t="s">
        <v>1621</v>
      </c>
      <c r="H240" s="11" t="s">
        <v>1622</v>
      </c>
      <c r="I240" s="10" t="s">
        <v>1623</v>
      </c>
      <c r="J240" s="9" t="s">
        <v>430</v>
      </c>
      <c r="K240" s="9" t="s">
        <v>458</v>
      </c>
      <c r="L240" s="10" t="s">
        <v>87</v>
      </c>
      <c r="M240" s="9" t="s">
        <v>1606</v>
      </c>
      <c r="N240" s="9"/>
      <c r="O240" s="9"/>
      <c r="P240" s="9"/>
      <c r="Q240" s="9" t="s">
        <v>327</v>
      </c>
      <c r="R240" s="9" t="s">
        <v>833</v>
      </c>
      <c r="S240" s="9" t="s">
        <v>91</v>
      </c>
      <c r="T240" s="12" t="n">
        <v>46324</v>
      </c>
      <c r="U240" s="10" t="s">
        <v>1624</v>
      </c>
    </row>
    <row r="241" customFormat="false" ht="23.85" hidden="false" customHeight="false" outlineLevel="0" collapsed="false">
      <c r="A241" s="9" t="s">
        <v>1625</v>
      </c>
      <c r="B241" s="10" t="s">
        <v>1626</v>
      </c>
      <c r="C241" s="9" t="s">
        <v>1599</v>
      </c>
      <c r="D241" s="9" t="s">
        <v>1600</v>
      </c>
      <c r="E241" s="9" t="s">
        <v>1601</v>
      </c>
      <c r="F241" s="9" t="s">
        <v>1602</v>
      </c>
      <c r="G241" s="10" t="s">
        <v>1627</v>
      </c>
      <c r="H241" s="11" t="s">
        <v>1628</v>
      </c>
      <c r="I241" s="10" t="s">
        <v>1468</v>
      </c>
      <c r="J241" s="9" t="s">
        <v>430</v>
      </c>
      <c r="K241" s="9" t="s">
        <v>474</v>
      </c>
      <c r="L241" s="10" t="s">
        <v>87</v>
      </c>
      <c r="M241" s="9" t="s">
        <v>1606</v>
      </c>
      <c r="N241" s="9"/>
      <c r="O241" s="9"/>
      <c r="P241" s="9"/>
      <c r="Q241" s="9" t="s">
        <v>327</v>
      </c>
      <c r="R241" s="9" t="s">
        <v>833</v>
      </c>
      <c r="S241" s="9" t="s">
        <v>91</v>
      </c>
      <c r="T241" s="12" t="n">
        <v>46324</v>
      </c>
      <c r="U241" s="10" t="s">
        <v>1629</v>
      </c>
    </row>
    <row r="242" customFormat="false" ht="35.05" hidden="false" customHeight="false" outlineLevel="0" collapsed="false">
      <c r="A242" s="9" t="s">
        <v>1630</v>
      </c>
      <c r="B242" s="10" t="s">
        <v>1631</v>
      </c>
      <c r="C242" s="9" t="s">
        <v>1599</v>
      </c>
      <c r="D242" s="9" t="s">
        <v>1600</v>
      </c>
      <c r="E242" s="9" t="s">
        <v>1601</v>
      </c>
      <c r="F242" s="9" t="s">
        <v>138</v>
      </c>
      <c r="G242" s="10" t="s">
        <v>1632</v>
      </c>
      <c r="H242" s="11" t="s">
        <v>1633</v>
      </c>
      <c r="I242" s="10" t="s">
        <v>1634</v>
      </c>
      <c r="J242" s="9" t="s">
        <v>1478</v>
      </c>
      <c r="K242" s="9" t="s">
        <v>474</v>
      </c>
      <c r="L242" s="10" t="s">
        <v>87</v>
      </c>
      <c r="M242" s="9" t="s">
        <v>1606</v>
      </c>
      <c r="N242" s="9"/>
      <c r="O242" s="9"/>
      <c r="P242" s="9"/>
      <c r="Q242" s="9" t="s">
        <v>1635</v>
      </c>
      <c r="R242" s="9" t="s">
        <v>833</v>
      </c>
      <c r="S242" s="9" t="s">
        <v>91</v>
      </c>
      <c r="T242" s="12" t="n">
        <v>46324</v>
      </c>
      <c r="U242" s="10" t="s">
        <v>1636</v>
      </c>
    </row>
    <row r="243" customFormat="false" ht="23.85" hidden="false" customHeight="false" outlineLevel="0" collapsed="false">
      <c r="A243" s="9" t="s">
        <v>1637</v>
      </c>
      <c r="B243" s="10" t="s">
        <v>1638</v>
      </c>
      <c r="C243" s="9" t="s">
        <v>1599</v>
      </c>
      <c r="D243" s="9" t="s">
        <v>1600</v>
      </c>
      <c r="E243" s="9" t="s">
        <v>1601</v>
      </c>
      <c r="F243" s="9" t="s">
        <v>1639</v>
      </c>
      <c r="G243" s="10" t="s">
        <v>1640</v>
      </c>
      <c r="H243" s="11" t="s">
        <v>1641</v>
      </c>
      <c r="I243" s="10" t="s">
        <v>1642</v>
      </c>
      <c r="J243" s="9" t="s">
        <v>1478</v>
      </c>
      <c r="K243" s="9" t="s">
        <v>458</v>
      </c>
      <c r="L243" s="10" t="s">
        <v>87</v>
      </c>
      <c r="M243" s="9" t="s">
        <v>1606</v>
      </c>
      <c r="N243" s="9"/>
      <c r="O243" s="9"/>
      <c r="P243" s="9"/>
      <c r="Q243" s="9" t="s">
        <v>327</v>
      </c>
      <c r="R243" s="9" t="s">
        <v>833</v>
      </c>
      <c r="S243" s="9" t="s">
        <v>91</v>
      </c>
      <c r="T243" s="12" t="n">
        <v>46324</v>
      </c>
      <c r="U243" s="10" t="s">
        <v>1643</v>
      </c>
    </row>
    <row r="244" customFormat="false" ht="23.85" hidden="false" customHeight="false" outlineLevel="0" collapsed="false">
      <c r="A244" s="9" t="s">
        <v>1644</v>
      </c>
      <c r="B244" s="10" t="s">
        <v>1645</v>
      </c>
      <c r="C244" s="9" t="s">
        <v>1599</v>
      </c>
      <c r="D244" s="9" t="s">
        <v>1600</v>
      </c>
      <c r="E244" s="9" t="s">
        <v>1601</v>
      </c>
      <c r="F244" s="9" t="s">
        <v>144</v>
      </c>
      <c r="G244" s="10" t="s">
        <v>1646</v>
      </c>
      <c r="H244" s="11" t="s">
        <v>1647</v>
      </c>
      <c r="I244" s="10" t="s">
        <v>1648</v>
      </c>
      <c r="J244" s="9" t="s">
        <v>430</v>
      </c>
      <c r="K244" s="9" t="s">
        <v>523</v>
      </c>
      <c r="L244" s="10" t="s">
        <v>87</v>
      </c>
      <c r="M244" s="9" t="s">
        <v>1606</v>
      </c>
      <c r="N244" s="9"/>
      <c r="O244" s="9"/>
      <c r="P244" s="9"/>
      <c r="Q244" s="9" t="s">
        <v>327</v>
      </c>
      <c r="R244" s="9" t="s">
        <v>833</v>
      </c>
      <c r="S244" s="9" t="s">
        <v>91</v>
      </c>
      <c r="T244" s="12" t="n">
        <v>46324</v>
      </c>
      <c r="U244" s="10" t="s">
        <v>1649</v>
      </c>
    </row>
    <row r="245" customFormat="false" ht="35.05" hidden="false" customHeight="false" outlineLevel="0" collapsed="false">
      <c r="A245" s="9" t="s">
        <v>1650</v>
      </c>
      <c r="B245" s="10" t="s">
        <v>1651</v>
      </c>
      <c r="C245" s="9" t="s">
        <v>1599</v>
      </c>
      <c r="D245" s="9" t="s">
        <v>1600</v>
      </c>
      <c r="E245" s="9" t="s">
        <v>1601</v>
      </c>
      <c r="F245" s="9" t="s">
        <v>103</v>
      </c>
      <c r="G245" s="10" t="s">
        <v>1652</v>
      </c>
      <c r="H245" s="11" t="s">
        <v>1653</v>
      </c>
      <c r="I245" s="10" t="s">
        <v>1514</v>
      </c>
      <c r="J245" s="9" t="s">
        <v>430</v>
      </c>
      <c r="K245" s="9" t="s">
        <v>474</v>
      </c>
      <c r="L245" s="10" t="s">
        <v>87</v>
      </c>
      <c r="M245" s="9" t="s">
        <v>1606</v>
      </c>
      <c r="N245" s="9"/>
      <c r="O245" s="9"/>
      <c r="P245" s="9"/>
      <c r="Q245" s="9" t="s">
        <v>327</v>
      </c>
      <c r="R245" s="9" t="s">
        <v>90</v>
      </c>
      <c r="S245" s="9" t="s">
        <v>91</v>
      </c>
      <c r="T245" s="12" t="n">
        <v>46324</v>
      </c>
      <c r="U245" s="10" t="s">
        <v>1654</v>
      </c>
    </row>
    <row r="246" customFormat="false" ht="23.85" hidden="false" customHeight="false" outlineLevel="0" collapsed="false">
      <c r="A246" s="9" t="s">
        <v>1655</v>
      </c>
      <c r="B246" s="10" t="s">
        <v>1656</v>
      </c>
      <c r="C246" s="9" t="s">
        <v>1599</v>
      </c>
      <c r="D246" s="9" t="s">
        <v>1600</v>
      </c>
      <c r="E246" s="9" t="s">
        <v>1601</v>
      </c>
      <c r="F246" s="9" t="s">
        <v>103</v>
      </c>
      <c r="G246" s="10" t="s">
        <v>1657</v>
      </c>
      <c r="H246" s="11" t="s">
        <v>1658</v>
      </c>
      <c r="I246" s="10" t="s">
        <v>1659</v>
      </c>
      <c r="J246" s="9" t="s">
        <v>430</v>
      </c>
      <c r="K246" s="9" t="s">
        <v>458</v>
      </c>
      <c r="L246" s="10" t="s">
        <v>87</v>
      </c>
      <c r="M246" s="9" t="s">
        <v>1606</v>
      </c>
      <c r="N246" s="9"/>
      <c r="O246" s="9"/>
      <c r="P246" s="9"/>
      <c r="Q246" s="9" t="s">
        <v>327</v>
      </c>
      <c r="R246" s="9" t="s">
        <v>90</v>
      </c>
      <c r="S246" s="9" t="s">
        <v>91</v>
      </c>
      <c r="T246" s="12" t="n">
        <v>46324</v>
      </c>
      <c r="U246" s="10" t="s">
        <v>1660</v>
      </c>
    </row>
    <row r="247" customFormat="false" ht="23.85" hidden="false" customHeight="false" outlineLevel="0" collapsed="false">
      <c r="A247" s="9" t="s">
        <v>1661</v>
      </c>
      <c r="B247" s="10" t="s">
        <v>1662</v>
      </c>
      <c r="C247" s="9" t="s">
        <v>1599</v>
      </c>
      <c r="D247" s="9" t="s">
        <v>1600</v>
      </c>
      <c r="E247" s="9" t="s">
        <v>1601</v>
      </c>
      <c r="F247" s="9" t="s">
        <v>152</v>
      </c>
      <c r="G247" s="10" t="s">
        <v>1663</v>
      </c>
      <c r="H247" s="11" t="s">
        <v>1664</v>
      </c>
      <c r="I247" s="10" t="s">
        <v>1665</v>
      </c>
      <c r="J247" s="9" t="s">
        <v>430</v>
      </c>
      <c r="K247" s="9" t="s">
        <v>474</v>
      </c>
      <c r="L247" s="10" t="s">
        <v>87</v>
      </c>
      <c r="M247" s="9" t="s">
        <v>1606</v>
      </c>
      <c r="N247" s="9"/>
      <c r="O247" s="9"/>
      <c r="P247" s="9"/>
      <c r="Q247" s="9" t="s">
        <v>327</v>
      </c>
      <c r="R247" s="9" t="s">
        <v>90</v>
      </c>
      <c r="S247" s="9" t="s">
        <v>91</v>
      </c>
      <c r="T247" s="12" t="n">
        <v>46324</v>
      </c>
      <c r="U247" s="10" t="s">
        <v>1666</v>
      </c>
    </row>
    <row r="248" customFormat="false" ht="15" hidden="false" customHeight="false" outlineLevel="0" collapsed="false">
      <c r="A248" s="9" t="s">
        <v>1667</v>
      </c>
      <c r="B248" s="10" t="s">
        <v>1668</v>
      </c>
      <c r="C248" s="9" t="s">
        <v>1599</v>
      </c>
      <c r="D248" s="9" t="s">
        <v>1600</v>
      </c>
      <c r="E248" s="9" t="s">
        <v>1601</v>
      </c>
      <c r="F248" s="9" t="s">
        <v>103</v>
      </c>
      <c r="G248" s="10" t="s">
        <v>1669</v>
      </c>
      <c r="H248" s="11" t="s">
        <v>1670</v>
      </c>
      <c r="I248" s="10" t="s">
        <v>1642</v>
      </c>
      <c r="J248" s="9" t="s">
        <v>430</v>
      </c>
      <c r="K248" s="9" t="s">
        <v>458</v>
      </c>
      <c r="L248" s="10" t="s">
        <v>87</v>
      </c>
      <c r="M248" s="9" t="s">
        <v>1606</v>
      </c>
      <c r="N248" s="9"/>
      <c r="O248" s="9"/>
      <c r="P248" s="9"/>
      <c r="Q248" s="9" t="s">
        <v>327</v>
      </c>
      <c r="R248" s="9" t="s">
        <v>90</v>
      </c>
      <c r="S248" s="9" t="s">
        <v>91</v>
      </c>
      <c r="T248" s="12" t="n">
        <v>46324</v>
      </c>
      <c r="U248" s="10" t="s">
        <v>1671</v>
      </c>
    </row>
    <row r="249" customFormat="false" ht="35.05" hidden="false" customHeight="false" outlineLevel="0" collapsed="false">
      <c r="A249" s="9" t="s">
        <v>1672</v>
      </c>
      <c r="B249" s="10" t="s">
        <v>1673</v>
      </c>
      <c r="C249" s="9" t="s">
        <v>1599</v>
      </c>
      <c r="D249" s="9" t="s">
        <v>1600</v>
      </c>
      <c r="E249" s="9" t="s">
        <v>1601</v>
      </c>
      <c r="F249" s="9" t="s">
        <v>1474</v>
      </c>
      <c r="G249" s="10" t="s">
        <v>1674</v>
      </c>
      <c r="H249" s="11" t="s">
        <v>1675</v>
      </c>
      <c r="I249" s="10" t="s">
        <v>1472</v>
      </c>
      <c r="J249" s="9" t="s">
        <v>1478</v>
      </c>
      <c r="K249" s="9" t="s">
        <v>474</v>
      </c>
      <c r="L249" s="10" t="s">
        <v>87</v>
      </c>
      <c r="M249" s="9" t="s">
        <v>1606</v>
      </c>
      <c r="N249" s="9"/>
      <c r="O249" s="9"/>
      <c r="P249" s="9"/>
      <c r="Q249" s="9" t="s">
        <v>327</v>
      </c>
      <c r="R249" s="9" t="s">
        <v>90</v>
      </c>
      <c r="S249" s="9" t="s">
        <v>91</v>
      </c>
      <c r="T249" s="12" t="n">
        <v>46324</v>
      </c>
      <c r="U249" s="10" t="s">
        <v>1676</v>
      </c>
    </row>
    <row r="250" customFormat="false" ht="35.05" hidden="false" customHeight="false" outlineLevel="0" collapsed="false">
      <c r="A250" s="9" t="s">
        <v>1677</v>
      </c>
      <c r="B250" s="10" t="s">
        <v>1678</v>
      </c>
      <c r="C250" s="9" t="s">
        <v>1599</v>
      </c>
      <c r="D250" s="9" t="s">
        <v>1600</v>
      </c>
      <c r="E250" s="9" t="s">
        <v>1601</v>
      </c>
      <c r="F250" s="9" t="s">
        <v>585</v>
      </c>
      <c r="G250" s="10" t="s">
        <v>1679</v>
      </c>
      <c r="H250" s="11" t="s">
        <v>1680</v>
      </c>
      <c r="I250" s="10" t="s">
        <v>1681</v>
      </c>
      <c r="J250" s="9" t="s">
        <v>430</v>
      </c>
      <c r="K250" s="9" t="s">
        <v>474</v>
      </c>
      <c r="L250" s="10" t="s">
        <v>87</v>
      </c>
      <c r="M250" s="9" t="s">
        <v>1606</v>
      </c>
      <c r="N250" s="9"/>
      <c r="O250" s="9"/>
      <c r="P250" s="9"/>
      <c r="Q250" s="9" t="s">
        <v>327</v>
      </c>
      <c r="R250" s="9" t="s">
        <v>90</v>
      </c>
      <c r="S250" s="9" t="s">
        <v>91</v>
      </c>
      <c r="T250" s="12" t="n">
        <v>46324</v>
      </c>
      <c r="U250" s="10" t="s">
        <v>1682</v>
      </c>
    </row>
    <row r="251" customFormat="false" ht="23.85" hidden="false" customHeight="false" outlineLevel="0" collapsed="false">
      <c r="A251" s="9" t="s">
        <v>1683</v>
      </c>
      <c r="B251" s="10" t="s">
        <v>1684</v>
      </c>
      <c r="C251" s="9" t="s">
        <v>1599</v>
      </c>
      <c r="D251" s="9" t="s">
        <v>1600</v>
      </c>
      <c r="E251" s="9" t="s">
        <v>1601</v>
      </c>
      <c r="F251" s="9" t="s">
        <v>630</v>
      </c>
      <c r="G251" s="10" t="s">
        <v>1685</v>
      </c>
      <c r="H251" s="11" t="s">
        <v>1686</v>
      </c>
      <c r="I251" s="10" t="s">
        <v>1687</v>
      </c>
      <c r="J251" s="9" t="s">
        <v>430</v>
      </c>
      <c r="K251" s="9" t="s">
        <v>458</v>
      </c>
      <c r="L251" s="10" t="s">
        <v>87</v>
      </c>
      <c r="M251" s="9" t="s">
        <v>1606</v>
      </c>
      <c r="N251" s="9"/>
      <c r="O251" s="9"/>
      <c r="P251" s="9"/>
      <c r="Q251" s="9" t="s">
        <v>327</v>
      </c>
      <c r="R251" s="9" t="s">
        <v>90</v>
      </c>
      <c r="S251" s="9" t="s">
        <v>91</v>
      </c>
      <c r="T251" s="12" t="n">
        <v>46324</v>
      </c>
      <c r="U251" s="10" t="s">
        <v>1688</v>
      </c>
    </row>
    <row r="252" customFormat="false" ht="23.85" hidden="false" customHeight="false" outlineLevel="0" collapsed="false">
      <c r="A252" s="9" t="s">
        <v>1689</v>
      </c>
      <c r="B252" s="10" t="s">
        <v>1690</v>
      </c>
      <c r="C252" s="9" t="s">
        <v>1599</v>
      </c>
      <c r="D252" s="9" t="s">
        <v>1600</v>
      </c>
      <c r="E252" s="9" t="s">
        <v>1601</v>
      </c>
      <c r="F252" s="9" t="s">
        <v>95</v>
      </c>
      <c r="G252" s="10" t="s">
        <v>1691</v>
      </c>
      <c r="H252" s="11" t="s">
        <v>1692</v>
      </c>
      <c r="I252" s="10" t="s">
        <v>1693</v>
      </c>
      <c r="J252" s="9" t="s">
        <v>430</v>
      </c>
      <c r="K252" s="9" t="s">
        <v>474</v>
      </c>
      <c r="L252" s="10" t="s">
        <v>87</v>
      </c>
      <c r="M252" s="9" t="s">
        <v>1606</v>
      </c>
      <c r="N252" s="9"/>
      <c r="O252" s="9"/>
      <c r="P252" s="9"/>
      <c r="Q252" s="9" t="s">
        <v>327</v>
      </c>
      <c r="R252" s="9" t="s">
        <v>90</v>
      </c>
      <c r="S252" s="9" t="s">
        <v>91</v>
      </c>
      <c r="T252" s="12" t="n">
        <v>46324</v>
      </c>
      <c r="U252" s="10" t="s">
        <v>1694</v>
      </c>
    </row>
    <row r="253" customFormat="false" ht="23.85" hidden="false" customHeight="false" outlineLevel="0" collapsed="false">
      <c r="A253" s="9" t="s">
        <v>1695</v>
      </c>
      <c r="B253" s="10" t="s">
        <v>1696</v>
      </c>
      <c r="C253" s="9" t="s">
        <v>1599</v>
      </c>
      <c r="D253" s="9" t="s">
        <v>1600</v>
      </c>
      <c r="E253" s="9" t="s">
        <v>1601</v>
      </c>
      <c r="F253" s="9" t="s">
        <v>585</v>
      </c>
      <c r="G253" s="10" t="s">
        <v>1697</v>
      </c>
      <c r="H253" s="11" t="s">
        <v>1698</v>
      </c>
      <c r="I253" s="10" t="s">
        <v>1699</v>
      </c>
      <c r="J253" s="9" t="s">
        <v>1478</v>
      </c>
      <c r="K253" s="9" t="s">
        <v>474</v>
      </c>
      <c r="L253" s="10" t="s">
        <v>87</v>
      </c>
      <c r="M253" s="9" t="s">
        <v>1606</v>
      </c>
      <c r="N253" s="9"/>
      <c r="O253" s="9"/>
      <c r="P253" s="9"/>
      <c r="Q253" s="9" t="s">
        <v>327</v>
      </c>
      <c r="R253" s="9" t="s">
        <v>90</v>
      </c>
      <c r="S253" s="9" t="s">
        <v>91</v>
      </c>
      <c r="T253" s="12" t="n">
        <v>46324</v>
      </c>
      <c r="U253" s="10" t="s">
        <v>1700</v>
      </c>
    </row>
    <row r="254" customFormat="false" ht="23.85" hidden="false" customHeight="false" outlineLevel="0" collapsed="false">
      <c r="A254" s="9" t="s">
        <v>1701</v>
      </c>
      <c r="B254" s="10" t="s">
        <v>1702</v>
      </c>
      <c r="C254" s="9" t="s">
        <v>1599</v>
      </c>
      <c r="D254" s="9" t="s">
        <v>1600</v>
      </c>
      <c r="E254" s="9" t="s">
        <v>1601</v>
      </c>
      <c r="F254" s="9" t="s">
        <v>630</v>
      </c>
      <c r="G254" s="10" t="s">
        <v>1703</v>
      </c>
      <c r="H254" s="11" t="s">
        <v>1704</v>
      </c>
      <c r="I254" s="10" t="s">
        <v>1705</v>
      </c>
      <c r="J254" s="9" t="s">
        <v>430</v>
      </c>
      <c r="K254" s="9" t="s">
        <v>458</v>
      </c>
      <c r="L254" s="10" t="s">
        <v>87</v>
      </c>
      <c r="M254" s="9" t="s">
        <v>1606</v>
      </c>
      <c r="N254" s="9"/>
      <c r="O254" s="9"/>
      <c r="P254" s="9"/>
      <c r="Q254" s="9" t="s">
        <v>327</v>
      </c>
      <c r="R254" s="9" t="s">
        <v>90</v>
      </c>
      <c r="S254" s="9" t="s">
        <v>91</v>
      </c>
      <c r="T254" s="12" t="n">
        <v>46324</v>
      </c>
      <c r="U254" s="10" t="s">
        <v>1706</v>
      </c>
    </row>
    <row r="255" customFormat="false" ht="23.85" hidden="false" customHeight="false" outlineLevel="0" collapsed="false">
      <c r="A255" s="9" t="s">
        <v>1707</v>
      </c>
      <c r="B255" s="10" t="s">
        <v>1708</v>
      </c>
      <c r="C255" s="9" t="s">
        <v>1599</v>
      </c>
      <c r="D255" s="9" t="s">
        <v>1600</v>
      </c>
      <c r="E255" s="9" t="s">
        <v>1601</v>
      </c>
      <c r="F255" s="9" t="s">
        <v>440</v>
      </c>
      <c r="G255" s="10" t="s">
        <v>1709</v>
      </c>
      <c r="H255" s="11" t="s">
        <v>1710</v>
      </c>
      <c r="I255" s="10" t="s">
        <v>1711</v>
      </c>
      <c r="J255" s="9" t="s">
        <v>430</v>
      </c>
      <c r="K255" s="9" t="s">
        <v>474</v>
      </c>
      <c r="L255" s="10" t="s">
        <v>87</v>
      </c>
      <c r="M255" s="9" t="s">
        <v>1606</v>
      </c>
      <c r="N255" s="9"/>
      <c r="O255" s="9"/>
      <c r="P255" s="9"/>
      <c r="Q255" s="9" t="s">
        <v>327</v>
      </c>
      <c r="R255" s="9" t="s">
        <v>90</v>
      </c>
      <c r="S255" s="9" t="s">
        <v>91</v>
      </c>
      <c r="T255" s="12" t="n">
        <v>46324</v>
      </c>
      <c r="U255" s="10" t="s">
        <v>1712</v>
      </c>
    </row>
    <row r="256" customFormat="false" ht="23.85" hidden="false" customHeight="false" outlineLevel="0" collapsed="false">
      <c r="A256" s="9" t="s">
        <v>1713</v>
      </c>
      <c r="B256" s="10" t="s">
        <v>1714</v>
      </c>
      <c r="C256" s="9" t="s">
        <v>1599</v>
      </c>
      <c r="D256" s="9" t="s">
        <v>1600</v>
      </c>
      <c r="E256" s="9" t="s">
        <v>1601</v>
      </c>
      <c r="F256" s="9" t="s">
        <v>1715</v>
      </c>
      <c r="G256" s="10" t="s">
        <v>1716</v>
      </c>
      <c r="H256" s="11" t="s">
        <v>1717</v>
      </c>
      <c r="I256" s="10" t="s">
        <v>1718</v>
      </c>
      <c r="J256" s="9" t="s">
        <v>430</v>
      </c>
      <c r="K256" s="9" t="s">
        <v>458</v>
      </c>
      <c r="L256" s="10" t="s">
        <v>87</v>
      </c>
      <c r="M256" s="9" t="s">
        <v>1606</v>
      </c>
      <c r="N256" s="9"/>
      <c r="O256" s="9"/>
      <c r="P256" s="9"/>
      <c r="Q256" s="9" t="s">
        <v>327</v>
      </c>
      <c r="R256" s="9" t="s">
        <v>90</v>
      </c>
      <c r="S256" s="9" t="s">
        <v>91</v>
      </c>
      <c r="T256" s="12" t="n">
        <v>46324</v>
      </c>
      <c r="U256" s="10" t="s">
        <v>1719</v>
      </c>
    </row>
    <row r="257" customFormat="false" ht="23.85" hidden="false" customHeight="false" outlineLevel="0" collapsed="false">
      <c r="A257" s="9" t="s">
        <v>1720</v>
      </c>
      <c r="B257" s="10" t="s">
        <v>1721</v>
      </c>
      <c r="C257" s="9" t="s">
        <v>1722</v>
      </c>
      <c r="D257" s="9" t="s">
        <v>1723</v>
      </c>
      <c r="E257" s="9" t="s">
        <v>1724</v>
      </c>
      <c r="F257" s="9" t="s">
        <v>138</v>
      </c>
      <c r="G257" s="10" t="s">
        <v>1725</v>
      </c>
      <c r="H257" s="11" t="s">
        <v>1726</v>
      </c>
      <c r="I257" s="10" t="s">
        <v>1727</v>
      </c>
      <c r="J257" s="9" t="s">
        <v>1478</v>
      </c>
      <c r="K257" s="9" t="s">
        <v>474</v>
      </c>
      <c r="L257" s="10" t="s">
        <v>87</v>
      </c>
      <c r="M257" s="9" t="s">
        <v>88</v>
      </c>
      <c r="N257" s="9"/>
      <c r="O257" s="9"/>
      <c r="P257" s="9"/>
      <c r="Q257" s="9" t="s">
        <v>327</v>
      </c>
      <c r="R257" s="9" t="s">
        <v>90</v>
      </c>
      <c r="S257" s="9" t="s">
        <v>167</v>
      </c>
      <c r="T257" s="12" t="n">
        <v>46324</v>
      </c>
      <c r="U257" s="10" t="s">
        <v>1728</v>
      </c>
    </row>
    <row r="258" customFormat="false" ht="23.85" hidden="false" customHeight="false" outlineLevel="0" collapsed="false">
      <c r="A258" s="9" t="s">
        <v>1729</v>
      </c>
      <c r="B258" s="10" t="s">
        <v>1730</v>
      </c>
      <c r="C258" s="9" t="s">
        <v>1722</v>
      </c>
      <c r="D258" s="9" t="s">
        <v>1723</v>
      </c>
      <c r="E258" s="9" t="s">
        <v>1731</v>
      </c>
      <c r="F258" s="9" t="s">
        <v>138</v>
      </c>
      <c r="G258" s="10" t="s">
        <v>1732</v>
      </c>
      <c r="H258" s="11" t="s">
        <v>1733</v>
      </c>
      <c r="I258" s="10" t="s">
        <v>1734</v>
      </c>
      <c r="J258" s="9" t="s">
        <v>430</v>
      </c>
      <c r="K258" s="9" t="s">
        <v>474</v>
      </c>
      <c r="L258" s="10" t="s">
        <v>785</v>
      </c>
      <c r="M258" s="9" t="s">
        <v>1735</v>
      </c>
      <c r="N258" s="9"/>
      <c r="O258" s="9"/>
      <c r="P258" s="9"/>
      <c r="Q258" s="9" t="s">
        <v>327</v>
      </c>
      <c r="R258" s="9" t="s">
        <v>90</v>
      </c>
      <c r="S258" s="9" t="s">
        <v>167</v>
      </c>
      <c r="T258" s="12" t="n">
        <v>46324</v>
      </c>
      <c r="U258" s="10" t="s">
        <v>1736</v>
      </c>
    </row>
    <row r="259" customFormat="false" ht="23.85" hidden="false" customHeight="false" outlineLevel="0" collapsed="false">
      <c r="A259" s="9" t="s">
        <v>1737</v>
      </c>
      <c r="B259" s="10" t="s">
        <v>1738</v>
      </c>
      <c r="C259" s="9" t="s">
        <v>1722</v>
      </c>
      <c r="D259" s="9" t="s">
        <v>1723</v>
      </c>
      <c r="E259" s="9" t="s">
        <v>1731</v>
      </c>
      <c r="F259" s="9" t="s">
        <v>82</v>
      </c>
      <c r="G259" s="10" t="s">
        <v>1739</v>
      </c>
      <c r="H259" s="11" t="s">
        <v>1740</v>
      </c>
      <c r="I259" s="10" t="s">
        <v>1741</v>
      </c>
      <c r="J259" s="9" t="s">
        <v>430</v>
      </c>
      <c r="K259" s="9" t="s">
        <v>482</v>
      </c>
      <c r="L259" s="10" t="s">
        <v>785</v>
      </c>
      <c r="M259" s="9" t="s">
        <v>1735</v>
      </c>
      <c r="N259" s="9"/>
      <c r="O259" s="9"/>
      <c r="P259" s="9"/>
      <c r="Q259" s="9" t="s">
        <v>327</v>
      </c>
      <c r="R259" s="9" t="s">
        <v>90</v>
      </c>
      <c r="S259" s="9" t="s">
        <v>167</v>
      </c>
      <c r="T259" s="12" t="n">
        <v>46324</v>
      </c>
      <c r="U259" s="10" t="s">
        <v>1742</v>
      </c>
    </row>
    <row r="260" customFormat="false" ht="23.85" hidden="false" customHeight="false" outlineLevel="0" collapsed="false">
      <c r="A260" s="9" t="s">
        <v>1743</v>
      </c>
      <c r="B260" s="10" t="s">
        <v>1744</v>
      </c>
      <c r="C260" s="9" t="s">
        <v>1722</v>
      </c>
      <c r="D260" s="9" t="s">
        <v>1723</v>
      </c>
      <c r="E260" s="9" t="s">
        <v>1731</v>
      </c>
      <c r="F260" s="9" t="s">
        <v>138</v>
      </c>
      <c r="G260" s="10" t="s">
        <v>1745</v>
      </c>
      <c r="H260" s="11" t="s">
        <v>1746</v>
      </c>
      <c r="I260" s="10" t="s">
        <v>1747</v>
      </c>
      <c r="J260" s="9" t="s">
        <v>430</v>
      </c>
      <c r="K260" s="9" t="s">
        <v>482</v>
      </c>
      <c r="L260" s="10" t="s">
        <v>785</v>
      </c>
      <c r="M260" s="9" t="s">
        <v>1735</v>
      </c>
      <c r="N260" s="9"/>
      <c r="O260" s="9"/>
      <c r="P260" s="9"/>
      <c r="Q260" s="9" t="s">
        <v>327</v>
      </c>
      <c r="R260" s="9" t="s">
        <v>90</v>
      </c>
      <c r="S260" s="9" t="s">
        <v>167</v>
      </c>
      <c r="T260" s="12" t="n">
        <v>46324</v>
      </c>
      <c r="U260" s="10" t="s">
        <v>1748</v>
      </c>
    </row>
    <row r="261" customFormat="false" ht="23.85" hidden="false" customHeight="false" outlineLevel="0" collapsed="false">
      <c r="A261" s="9" t="s">
        <v>1749</v>
      </c>
      <c r="B261" s="10" t="s">
        <v>1750</v>
      </c>
      <c r="C261" s="9" t="s">
        <v>1722</v>
      </c>
      <c r="D261" s="9" t="s">
        <v>1723</v>
      </c>
      <c r="E261" s="9" t="s">
        <v>1731</v>
      </c>
      <c r="F261" s="9" t="s">
        <v>138</v>
      </c>
      <c r="G261" s="10" t="s">
        <v>1751</v>
      </c>
      <c r="H261" s="11" t="s">
        <v>1752</v>
      </c>
      <c r="I261" s="10" t="s">
        <v>1747</v>
      </c>
      <c r="J261" s="9" t="s">
        <v>430</v>
      </c>
      <c r="K261" s="9" t="s">
        <v>482</v>
      </c>
      <c r="L261" s="10" t="s">
        <v>785</v>
      </c>
      <c r="M261" s="9" t="s">
        <v>1735</v>
      </c>
      <c r="N261" s="9"/>
      <c r="O261" s="9"/>
      <c r="P261" s="9"/>
      <c r="Q261" s="9" t="s">
        <v>327</v>
      </c>
      <c r="R261" s="9" t="s">
        <v>90</v>
      </c>
      <c r="S261" s="9" t="s">
        <v>167</v>
      </c>
      <c r="T261" s="12" t="n">
        <v>46324</v>
      </c>
      <c r="U261" s="10" t="s">
        <v>1753</v>
      </c>
    </row>
    <row r="262" customFormat="false" ht="35.05" hidden="false" customHeight="false" outlineLevel="0" collapsed="false">
      <c r="A262" s="9" t="s">
        <v>1754</v>
      </c>
      <c r="B262" s="10" t="s">
        <v>1755</v>
      </c>
      <c r="C262" s="9" t="s">
        <v>1722</v>
      </c>
      <c r="D262" s="9" t="s">
        <v>1723</v>
      </c>
      <c r="E262" s="9" t="s">
        <v>1731</v>
      </c>
      <c r="F262" s="9" t="s">
        <v>82</v>
      </c>
      <c r="G262" s="10" t="s">
        <v>1756</v>
      </c>
      <c r="H262" s="11" t="s">
        <v>1757</v>
      </c>
      <c r="I262" s="10" t="s">
        <v>1758</v>
      </c>
      <c r="J262" s="9" t="s">
        <v>430</v>
      </c>
      <c r="K262" s="9" t="s">
        <v>474</v>
      </c>
      <c r="L262" s="10" t="s">
        <v>785</v>
      </c>
      <c r="M262" s="9" t="s">
        <v>1735</v>
      </c>
      <c r="N262" s="9"/>
      <c r="O262" s="9"/>
      <c r="P262" s="9"/>
      <c r="Q262" s="9" t="s">
        <v>327</v>
      </c>
      <c r="R262" s="9" t="s">
        <v>90</v>
      </c>
      <c r="S262" s="9" t="s">
        <v>167</v>
      </c>
      <c r="T262" s="12" t="n">
        <v>46324</v>
      </c>
      <c r="U262" s="10" t="s">
        <v>1759</v>
      </c>
    </row>
    <row r="263" customFormat="false" ht="23.85" hidden="false" customHeight="false" outlineLevel="0" collapsed="false">
      <c r="A263" s="9" t="s">
        <v>1760</v>
      </c>
      <c r="B263" s="10" t="s">
        <v>1761</v>
      </c>
      <c r="C263" s="9" t="s">
        <v>1722</v>
      </c>
      <c r="D263" s="9" t="s">
        <v>1723</v>
      </c>
      <c r="E263" s="9" t="s">
        <v>1731</v>
      </c>
      <c r="F263" s="9" t="s">
        <v>144</v>
      </c>
      <c r="G263" s="10" t="s">
        <v>1762</v>
      </c>
      <c r="H263" s="11" t="s">
        <v>1763</v>
      </c>
      <c r="I263" s="10" t="s">
        <v>1764</v>
      </c>
      <c r="J263" s="9" t="s">
        <v>430</v>
      </c>
      <c r="K263" s="9" t="s">
        <v>523</v>
      </c>
      <c r="L263" s="10" t="s">
        <v>785</v>
      </c>
      <c r="M263" s="9" t="s">
        <v>1735</v>
      </c>
      <c r="N263" s="9"/>
      <c r="O263" s="9"/>
      <c r="P263" s="9"/>
      <c r="Q263" s="9" t="s">
        <v>327</v>
      </c>
      <c r="R263" s="9" t="s">
        <v>90</v>
      </c>
      <c r="S263" s="9" t="s">
        <v>167</v>
      </c>
      <c r="T263" s="12" t="n">
        <v>46324</v>
      </c>
      <c r="U263" s="10" t="s">
        <v>1765</v>
      </c>
    </row>
    <row r="264" customFormat="false" ht="23.85" hidden="false" customHeight="false" outlineLevel="0" collapsed="false">
      <c r="A264" s="9" t="s">
        <v>1766</v>
      </c>
      <c r="B264" s="10" t="s">
        <v>1767</v>
      </c>
      <c r="C264" s="9" t="s">
        <v>1722</v>
      </c>
      <c r="D264" s="9" t="s">
        <v>1723</v>
      </c>
      <c r="E264" s="9" t="s">
        <v>1731</v>
      </c>
      <c r="F264" s="9" t="s">
        <v>144</v>
      </c>
      <c r="G264" s="10" t="s">
        <v>1768</v>
      </c>
      <c r="H264" s="11" t="s">
        <v>1769</v>
      </c>
      <c r="I264" s="10" t="s">
        <v>1770</v>
      </c>
      <c r="J264" s="9" t="s">
        <v>430</v>
      </c>
      <c r="K264" s="9" t="s">
        <v>523</v>
      </c>
      <c r="L264" s="10" t="s">
        <v>785</v>
      </c>
      <c r="M264" s="9" t="s">
        <v>1735</v>
      </c>
      <c r="N264" s="9"/>
      <c r="O264" s="9"/>
      <c r="P264" s="9"/>
      <c r="Q264" s="9" t="s">
        <v>327</v>
      </c>
      <c r="R264" s="9" t="s">
        <v>90</v>
      </c>
      <c r="S264" s="9" t="s">
        <v>167</v>
      </c>
      <c r="T264" s="12" t="n">
        <v>46324</v>
      </c>
      <c r="U264" s="10"/>
    </row>
    <row r="265" customFormat="false" ht="35.05" hidden="false" customHeight="false" outlineLevel="0" collapsed="false">
      <c r="A265" s="9" t="s">
        <v>1771</v>
      </c>
      <c r="B265" s="10" t="s">
        <v>1772</v>
      </c>
      <c r="C265" s="9" t="s">
        <v>1722</v>
      </c>
      <c r="D265" s="9" t="s">
        <v>1723</v>
      </c>
      <c r="E265" s="9" t="s">
        <v>1773</v>
      </c>
      <c r="F265" s="9" t="s">
        <v>138</v>
      </c>
      <c r="G265" s="10" t="s">
        <v>1774</v>
      </c>
      <c r="H265" s="11" t="s">
        <v>1775</v>
      </c>
      <c r="I265" s="10" t="s">
        <v>1776</v>
      </c>
      <c r="J265" s="9" t="s">
        <v>1478</v>
      </c>
      <c r="K265" s="9" t="s">
        <v>482</v>
      </c>
      <c r="L265" s="10" t="s">
        <v>785</v>
      </c>
      <c r="M265" s="9" t="s">
        <v>1735</v>
      </c>
      <c r="N265" s="9"/>
      <c r="O265" s="9"/>
      <c r="P265" s="9"/>
      <c r="Q265" s="9" t="s">
        <v>327</v>
      </c>
      <c r="R265" s="9" t="s">
        <v>90</v>
      </c>
      <c r="S265" s="9" t="s">
        <v>91</v>
      </c>
      <c r="T265" s="12" t="n">
        <v>46324</v>
      </c>
      <c r="U265" s="10" t="s">
        <v>1777</v>
      </c>
    </row>
    <row r="266" customFormat="false" ht="35.05" hidden="false" customHeight="false" outlineLevel="0" collapsed="false">
      <c r="A266" s="9" t="s">
        <v>1778</v>
      </c>
      <c r="B266" s="10" t="s">
        <v>1779</v>
      </c>
      <c r="C266" s="9" t="s">
        <v>1722</v>
      </c>
      <c r="D266" s="9" t="s">
        <v>1723</v>
      </c>
      <c r="E266" s="9" t="s">
        <v>1731</v>
      </c>
      <c r="F266" s="9" t="s">
        <v>144</v>
      </c>
      <c r="G266" s="10" t="s">
        <v>1780</v>
      </c>
      <c r="H266" s="11" t="s">
        <v>1781</v>
      </c>
      <c r="I266" s="10" t="s">
        <v>1782</v>
      </c>
      <c r="J266" s="9" t="s">
        <v>430</v>
      </c>
      <c r="K266" s="9" t="s">
        <v>474</v>
      </c>
      <c r="L266" s="10" t="s">
        <v>87</v>
      </c>
      <c r="M266" s="9" t="s">
        <v>1735</v>
      </c>
      <c r="N266" s="9"/>
      <c r="O266" s="9"/>
      <c r="P266" s="9"/>
      <c r="Q266" s="9" t="s">
        <v>327</v>
      </c>
      <c r="R266" s="9" t="s">
        <v>90</v>
      </c>
      <c r="S266" s="9" t="s">
        <v>91</v>
      </c>
      <c r="T266" s="12" t="n">
        <v>46324</v>
      </c>
      <c r="U266" s="10" t="s">
        <v>1783</v>
      </c>
    </row>
    <row r="267" customFormat="false" ht="23.85" hidden="false" customHeight="false" outlineLevel="0" collapsed="false">
      <c r="A267" s="9" t="s">
        <v>1784</v>
      </c>
      <c r="B267" s="10" t="s">
        <v>1785</v>
      </c>
      <c r="C267" s="9" t="s">
        <v>1722</v>
      </c>
      <c r="D267" s="9" t="s">
        <v>1723</v>
      </c>
      <c r="E267" s="9" t="s">
        <v>1731</v>
      </c>
      <c r="F267" s="9" t="s">
        <v>138</v>
      </c>
      <c r="G267" s="10" t="s">
        <v>1786</v>
      </c>
      <c r="H267" s="11" t="s">
        <v>1787</v>
      </c>
      <c r="I267" s="10" t="s">
        <v>1758</v>
      </c>
      <c r="J267" s="9" t="s">
        <v>1788</v>
      </c>
      <c r="K267" s="9" t="s">
        <v>482</v>
      </c>
      <c r="L267" s="10" t="s">
        <v>785</v>
      </c>
      <c r="M267" s="9" t="s">
        <v>1735</v>
      </c>
      <c r="N267" s="9"/>
      <c r="O267" s="9"/>
      <c r="P267" s="9"/>
      <c r="Q267" s="9" t="s">
        <v>327</v>
      </c>
      <c r="R267" s="9" t="s">
        <v>90</v>
      </c>
      <c r="S267" s="9" t="s">
        <v>167</v>
      </c>
      <c r="T267" s="12" t="n">
        <v>46324</v>
      </c>
      <c r="U267" s="10" t="s">
        <v>1789</v>
      </c>
    </row>
    <row r="268" customFormat="false" ht="23.85" hidden="false" customHeight="false" outlineLevel="0" collapsed="false">
      <c r="A268" s="9" t="s">
        <v>1790</v>
      </c>
      <c r="B268" s="10" t="s">
        <v>1791</v>
      </c>
      <c r="C268" s="9" t="s">
        <v>1722</v>
      </c>
      <c r="D268" s="9" t="s">
        <v>1723</v>
      </c>
      <c r="E268" s="9" t="s">
        <v>1731</v>
      </c>
      <c r="F268" s="9" t="s">
        <v>138</v>
      </c>
      <c r="G268" s="10" t="s">
        <v>1792</v>
      </c>
      <c r="H268" s="11" t="s">
        <v>1793</v>
      </c>
      <c r="I268" s="10" t="s">
        <v>1794</v>
      </c>
      <c r="J268" s="9" t="s">
        <v>1478</v>
      </c>
      <c r="K268" s="9" t="s">
        <v>523</v>
      </c>
      <c r="L268" s="10" t="s">
        <v>785</v>
      </c>
      <c r="M268" s="9" t="s">
        <v>1735</v>
      </c>
      <c r="N268" s="9"/>
      <c r="O268" s="9"/>
      <c r="P268" s="9"/>
      <c r="Q268" s="9" t="s">
        <v>327</v>
      </c>
      <c r="R268" s="9" t="s">
        <v>90</v>
      </c>
      <c r="S268" s="9" t="s">
        <v>167</v>
      </c>
      <c r="T268" s="12" t="n">
        <v>46324</v>
      </c>
      <c r="U268" s="10" t="s">
        <v>1795</v>
      </c>
    </row>
    <row r="269" customFormat="false" ht="23.85" hidden="false" customHeight="false" outlineLevel="0" collapsed="false">
      <c r="A269" s="9" t="s">
        <v>1796</v>
      </c>
      <c r="B269" s="10" t="s">
        <v>1797</v>
      </c>
      <c r="C269" s="9" t="s">
        <v>1722</v>
      </c>
      <c r="D269" s="9" t="s">
        <v>1723</v>
      </c>
      <c r="E269" s="9" t="s">
        <v>1731</v>
      </c>
      <c r="F269" s="9" t="s">
        <v>103</v>
      </c>
      <c r="G269" s="10" t="s">
        <v>1798</v>
      </c>
      <c r="H269" s="11" t="s">
        <v>1799</v>
      </c>
      <c r="I269" s="10" t="s">
        <v>1800</v>
      </c>
      <c r="J269" s="9" t="s">
        <v>430</v>
      </c>
      <c r="K269" s="9" t="s">
        <v>523</v>
      </c>
      <c r="L269" s="10" t="s">
        <v>785</v>
      </c>
      <c r="M269" s="9" t="s">
        <v>1735</v>
      </c>
      <c r="N269" s="9"/>
      <c r="O269" s="9"/>
      <c r="P269" s="9"/>
      <c r="Q269" s="9" t="s">
        <v>327</v>
      </c>
      <c r="R269" s="9" t="s">
        <v>90</v>
      </c>
      <c r="S269" s="9" t="s">
        <v>167</v>
      </c>
      <c r="T269" s="12" t="n">
        <v>46324</v>
      </c>
      <c r="U269" s="10" t="s">
        <v>1801</v>
      </c>
    </row>
    <row r="270" customFormat="false" ht="23.85" hidden="false" customHeight="false" outlineLevel="0" collapsed="false">
      <c r="A270" s="9" t="s">
        <v>1802</v>
      </c>
      <c r="B270" s="10" t="s">
        <v>1803</v>
      </c>
      <c r="C270" s="9" t="s">
        <v>1722</v>
      </c>
      <c r="D270" s="9" t="s">
        <v>1723</v>
      </c>
      <c r="E270" s="9" t="s">
        <v>1731</v>
      </c>
      <c r="F270" s="9" t="s">
        <v>103</v>
      </c>
      <c r="G270" s="10" t="s">
        <v>1804</v>
      </c>
      <c r="H270" s="11" t="s">
        <v>1805</v>
      </c>
      <c r="I270" s="10" t="s">
        <v>1806</v>
      </c>
      <c r="J270" s="9" t="s">
        <v>430</v>
      </c>
      <c r="K270" s="9" t="s">
        <v>523</v>
      </c>
      <c r="L270" s="10" t="s">
        <v>785</v>
      </c>
      <c r="M270" s="9" t="s">
        <v>1735</v>
      </c>
      <c r="N270" s="9"/>
      <c r="O270" s="9"/>
      <c r="P270" s="9"/>
      <c r="Q270" s="9" t="s">
        <v>327</v>
      </c>
      <c r="R270" s="9" t="s">
        <v>90</v>
      </c>
      <c r="S270" s="9" t="s">
        <v>167</v>
      </c>
      <c r="T270" s="12" t="n">
        <v>46324</v>
      </c>
      <c r="U270" s="10" t="s">
        <v>1807</v>
      </c>
    </row>
    <row r="271" customFormat="false" ht="23.85" hidden="false" customHeight="false" outlineLevel="0" collapsed="false">
      <c r="A271" s="9" t="s">
        <v>1808</v>
      </c>
      <c r="B271" s="10" t="s">
        <v>1809</v>
      </c>
      <c r="C271" s="9" t="s">
        <v>1722</v>
      </c>
      <c r="D271" s="9" t="s">
        <v>1723</v>
      </c>
      <c r="E271" s="9" t="s">
        <v>1731</v>
      </c>
      <c r="F271" s="9" t="s">
        <v>103</v>
      </c>
      <c r="G271" s="10" t="s">
        <v>1810</v>
      </c>
      <c r="H271" s="11" t="s">
        <v>1811</v>
      </c>
      <c r="I271" s="10" t="s">
        <v>1812</v>
      </c>
      <c r="J271" s="9" t="s">
        <v>430</v>
      </c>
      <c r="K271" s="9" t="s">
        <v>523</v>
      </c>
      <c r="L271" s="10" t="s">
        <v>785</v>
      </c>
      <c r="M271" s="9" t="s">
        <v>1735</v>
      </c>
      <c r="N271" s="9"/>
      <c r="O271" s="9"/>
      <c r="P271" s="9"/>
      <c r="Q271" s="9" t="s">
        <v>327</v>
      </c>
      <c r="R271" s="9" t="s">
        <v>90</v>
      </c>
      <c r="S271" s="9" t="s">
        <v>167</v>
      </c>
      <c r="T271" s="12" t="n">
        <v>46324</v>
      </c>
      <c r="U271" s="10" t="s">
        <v>1813</v>
      </c>
    </row>
    <row r="272" customFormat="false" ht="23.85" hidden="false" customHeight="false" outlineLevel="0" collapsed="false">
      <c r="A272" s="9" t="s">
        <v>1814</v>
      </c>
      <c r="B272" s="10" t="s">
        <v>1815</v>
      </c>
      <c r="C272" s="9" t="s">
        <v>1722</v>
      </c>
      <c r="D272" s="9" t="s">
        <v>1723</v>
      </c>
      <c r="E272" s="9" t="s">
        <v>1731</v>
      </c>
      <c r="F272" s="9" t="s">
        <v>752</v>
      </c>
      <c r="G272" s="10" t="s">
        <v>1816</v>
      </c>
      <c r="H272" s="11" t="s">
        <v>1817</v>
      </c>
      <c r="I272" s="10" t="s">
        <v>1747</v>
      </c>
      <c r="J272" s="9" t="s">
        <v>430</v>
      </c>
      <c r="K272" s="9" t="s">
        <v>474</v>
      </c>
      <c r="L272" s="10" t="s">
        <v>785</v>
      </c>
      <c r="M272" s="9" t="s">
        <v>1735</v>
      </c>
      <c r="N272" s="9"/>
      <c r="O272" s="9"/>
      <c r="P272" s="9"/>
      <c r="Q272" s="9" t="s">
        <v>327</v>
      </c>
      <c r="R272" s="9" t="s">
        <v>90</v>
      </c>
      <c r="S272" s="9" t="s">
        <v>167</v>
      </c>
      <c r="T272" s="12" t="n">
        <v>46324</v>
      </c>
      <c r="U272" s="10" t="s">
        <v>1818</v>
      </c>
    </row>
    <row r="273" customFormat="false" ht="23.85" hidden="false" customHeight="false" outlineLevel="0" collapsed="false">
      <c r="A273" s="9" t="s">
        <v>1819</v>
      </c>
      <c r="B273" s="10" t="s">
        <v>1820</v>
      </c>
      <c r="C273" s="9" t="s">
        <v>1722</v>
      </c>
      <c r="D273" s="9" t="s">
        <v>1723</v>
      </c>
      <c r="E273" s="9" t="s">
        <v>1731</v>
      </c>
      <c r="F273" s="9" t="s">
        <v>1821</v>
      </c>
      <c r="G273" s="10" t="s">
        <v>1822</v>
      </c>
      <c r="H273" s="11" t="s">
        <v>1823</v>
      </c>
      <c r="I273" s="10" t="s">
        <v>1812</v>
      </c>
      <c r="J273" s="9" t="s">
        <v>430</v>
      </c>
      <c r="K273" s="9" t="s">
        <v>523</v>
      </c>
      <c r="L273" s="10" t="s">
        <v>785</v>
      </c>
      <c r="M273" s="9" t="s">
        <v>1735</v>
      </c>
      <c r="N273" s="9"/>
      <c r="O273" s="9"/>
      <c r="P273" s="9"/>
      <c r="Q273" s="9" t="s">
        <v>327</v>
      </c>
      <c r="R273" s="9" t="s">
        <v>90</v>
      </c>
      <c r="S273" s="9" t="s">
        <v>167</v>
      </c>
      <c r="T273" s="12" t="n">
        <v>46324</v>
      </c>
      <c r="U273" s="10" t="s">
        <v>1824</v>
      </c>
    </row>
    <row r="274" customFormat="false" ht="23.85" hidden="false" customHeight="false" outlineLevel="0" collapsed="false">
      <c r="A274" s="9" t="s">
        <v>1825</v>
      </c>
      <c r="B274" s="10" t="s">
        <v>1826</v>
      </c>
      <c r="C274" s="9" t="s">
        <v>1722</v>
      </c>
      <c r="D274" s="9" t="s">
        <v>1723</v>
      </c>
      <c r="E274" s="9" t="s">
        <v>1731</v>
      </c>
      <c r="F274" s="9" t="s">
        <v>95</v>
      </c>
      <c r="G274" s="10" t="s">
        <v>1827</v>
      </c>
      <c r="H274" s="11" t="s">
        <v>1828</v>
      </c>
      <c r="I274" s="10" t="s">
        <v>1829</v>
      </c>
      <c r="J274" s="9" t="s">
        <v>430</v>
      </c>
      <c r="K274" s="9" t="s">
        <v>474</v>
      </c>
      <c r="L274" s="10" t="s">
        <v>785</v>
      </c>
      <c r="M274" s="9" t="s">
        <v>1735</v>
      </c>
      <c r="N274" s="9"/>
      <c r="O274" s="9"/>
      <c r="P274" s="9"/>
      <c r="Q274" s="9" t="s">
        <v>327</v>
      </c>
      <c r="R274" s="9" t="s">
        <v>90</v>
      </c>
      <c r="S274" s="9" t="s">
        <v>167</v>
      </c>
      <c r="T274" s="12" t="n">
        <v>46324</v>
      </c>
      <c r="U274" s="10" t="s">
        <v>1830</v>
      </c>
    </row>
    <row r="275" customFormat="false" ht="23.85" hidden="false" customHeight="false" outlineLevel="0" collapsed="false">
      <c r="A275" s="9" t="s">
        <v>1831</v>
      </c>
      <c r="B275" s="10" t="s">
        <v>1832</v>
      </c>
      <c r="C275" s="9" t="s">
        <v>1722</v>
      </c>
      <c r="D275" s="9" t="s">
        <v>1723</v>
      </c>
      <c r="E275" s="9" t="s">
        <v>1731</v>
      </c>
      <c r="F275" s="9" t="s">
        <v>95</v>
      </c>
      <c r="G275" s="10" t="s">
        <v>1833</v>
      </c>
      <c r="H275" s="11" t="s">
        <v>1834</v>
      </c>
      <c r="I275" s="10" t="s">
        <v>1770</v>
      </c>
      <c r="J275" s="9" t="s">
        <v>430</v>
      </c>
      <c r="K275" s="9" t="s">
        <v>474</v>
      </c>
      <c r="L275" s="10" t="s">
        <v>785</v>
      </c>
      <c r="M275" s="9" t="s">
        <v>1735</v>
      </c>
      <c r="N275" s="9"/>
      <c r="O275" s="9"/>
      <c r="P275" s="9"/>
      <c r="Q275" s="9" t="s">
        <v>327</v>
      </c>
      <c r="R275" s="9" t="s">
        <v>90</v>
      </c>
      <c r="S275" s="9" t="s">
        <v>167</v>
      </c>
      <c r="T275" s="12" t="n">
        <v>46324</v>
      </c>
      <c r="U275" s="10" t="s">
        <v>1835</v>
      </c>
    </row>
    <row r="276" customFormat="false" ht="23.85" hidden="false" customHeight="false" outlineLevel="0" collapsed="false">
      <c r="A276" s="9" t="s">
        <v>1836</v>
      </c>
      <c r="B276" s="10" t="s">
        <v>1837</v>
      </c>
      <c r="C276" s="9" t="s">
        <v>1722</v>
      </c>
      <c r="D276" s="9" t="s">
        <v>1723</v>
      </c>
      <c r="E276" s="9" t="s">
        <v>1731</v>
      </c>
      <c r="F276" s="9" t="s">
        <v>1821</v>
      </c>
      <c r="G276" s="10" t="s">
        <v>1838</v>
      </c>
      <c r="H276" s="11" t="s">
        <v>1839</v>
      </c>
      <c r="I276" s="10" t="s">
        <v>1840</v>
      </c>
      <c r="J276" s="9" t="s">
        <v>430</v>
      </c>
      <c r="K276" s="9" t="s">
        <v>523</v>
      </c>
      <c r="L276" s="10" t="s">
        <v>785</v>
      </c>
      <c r="M276" s="9" t="s">
        <v>1735</v>
      </c>
      <c r="N276" s="9"/>
      <c r="O276" s="9"/>
      <c r="P276" s="9"/>
      <c r="Q276" s="9" t="s">
        <v>327</v>
      </c>
      <c r="R276" s="9" t="s">
        <v>90</v>
      </c>
      <c r="S276" s="9" t="s">
        <v>167</v>
      </c>
      <c r="T276" s="12" t="n">
        <v>46324</v>
      </c>
      <c r="U276" s="10" t="s">
        <v>1841</v>
      </c>
    </row>
    <row r="277" customFormat="false" ht="35.05" hidden="false" customHeight="false" outlineLevel="0" collapsed="false">
      <c r="A277" s="9" t="s">
        <v>1842</v>
      </c>
      <c r="B277" s="10" t="s">
        <v>1843</v>
      </c>
      <c r="C277" s="9" t="s">
        <v>1722</v>
      </c>
      <c r="D277" s="9" t="s">
        <v>1723</v>
      </c>
      <c r="E277" s="9" t="s">
        <v>1731</v>
      </c>
      <c r="F277" s="9" t="s">
        <v>95</v>
      </c>
      <c r="G277" s="10" t="s">
        <v>1844</v>
      </c>
      <c r="H277" s="11" t="s">
        <v>1845</v>
      </c>
      <c r="I277" s="10" t="s">
        <v>1846</v>
      </c>
      <c r="J277" s="9" t="s">
        <v>430</v>
      </c>
      <c r="K277" s="9" t="s">
        <v>523</v>
      </c>
      <c r="L277" s="10" t="s">
        <v>785</v>
      </c>
      <c r="M277" s="9" t="s">
        <v>1735</v>
      </c>
      <c r="N277" s="9"/>
      <c r="O277" s="9"/>
      <c r="P277" s="9"/>
      <c r="Q277" s="9" t="s">
        <v>327</v>
      </c>
      <c r="R277" s="9" t="s">
        <v>90</v>
      </c>
      <c r="S277" s="9" t="s">
        <v>167</v>
      </c>
      <c r="T277" s="12" t="n">
        <v>46324</v>
      </c>
      <c r="U277" s="10" t="s">
        <v>1847</v>
      </c>
    </row>
    <row r="278" customFormat="false" ht="23.85" hidden="false" customHeight="false" outlineLevel="0" collapsed="false">
      <c r="A278" s="9" t="s">
        <v>1848</v>
      </c>
      <c r="B278" s="10" t="s">
        <v>1849</v>
      </c>
      <c r="C278" s="9" t="s">
        <v>1722</v>
      </c>
      <c r="D278" s="9" t="s">
        <v>1723</v>
      </c>
      <c r="E278" s="9" t="s">
        <v>1731</v>
      </c>
      <c r="F278" s="9" t="s">
        <v>1482</v>
      </c>
      <c r="G278" s="10" t="s">
        <v>1850</v>
      </c>
      <c r="H278" s="11" t="s">
        <v>1851</v>
      </c>
      <c r="I278" s="10" t="s">
        <v>1852</v>
      </c>
      <c r="J278" s="9" t="s">
        <v>430</v>
      </c>
      <c r="K278" s="9" t="s">
        <v>474</v>
      </c>
      <c r="L278" s="10" t="s">
        <v>785</v>
      </c>
      <c r="M278" s="9" t="s">
        <v>1735</v>
      </c>
      <c r="N278" s="9"/>
      <c r="O278" s="9"/>
      <c r="P278" s="9"/>
      <c r="Q278" s="9" t="s">
        <v>327</v>
      </c>
      <c r="R278" s="9" t="s">
        <v>90</v>
      </c>
      <c r="S278" s="9" t="s">
        <v>167</v>
      </c>
      <c r="T278" s="12" t="n">
        <v>46324</v>
      </c>
      <c r="U278" s="10" t="s">
        <v>1853</v>
      </c>
    </row>
    <row r="279" customFormat="false" ht="23.85" hidden="false" customHeight="false" outlineLevel="0" collapsed="false">
      <c r="A279" s="9" t="s">
        <v>1854</v>
      </c>
      <c r="B279" s="10" t="s">
        <v>1855</v>
      </c>
      <c r="C279" s="9" t="s">
        <v>1722</v>
      </c>
      <c r="D279" s="9" t="s">
        <v>1723</v>
      </c>
      <c r="E279" s="9" t="s">
        <v>1731</v>
      </c>
      <c r="F279" s="9" t="s">
        <v>119</v>
      </c>
      <c r="G279" s="10" t="s">
        <v>1856</v>
      </c>
      <c r="H279" s="11" t="s">
        <v>1857</v>
      </c>
      <c r="I279" s="10" t="s">
        <v>1852</v>
      </c>
      <c r="J279" s="9" t="s">
        <v>430</v>
      </c>
      <c r="K279" s="9" t="s">
        <v>474</v>
      </c>
      <c r="L279" s="10" t="s">
        <v>785</v>
      </c>
      <c r="M279" s="9" t="s">
        <v>1735</v>
      </c>
      <c r="N279" s="9"/>
      <c r="O279" s="9"/>
      <c r="P279" s="9"/>
      <c r="Q279" s="9" t="s">
        <v>327</v>
      </c>
      <c r="R279" s="9" t="s">
        <v>90</v>
      </c>
      <c r="S279" s="9" t="s">
        <v>167</v>
      </c>
      <c r="T279" s="12" t="n">
        <v>46324</v>
      </c>
      <c r="U279" s="10" t="s">
        <v>1858</v>
      </c>
    </row>
    <row r="280" customFormat="false" ht="23.85" hidden="false" customHeight="false" outlineLevel="0" collapsed="false">
      <c r="A280" s="9" t="s">
        <v>1859</v>
      </c>
      <c r="B280" s="10" t="s">
        <v>1860</v>
      </c>
      <c r="C280" s="9" t="s">
        <v>1722</v>
      </c>
      <c r="D280" s="9" t="s">
        <v>1723</v>
      </c>
      <c r="E280" s="9" t="s">
        <v>1731</v>
      </c>
      <c r="F280" s="9" t="s">
        <v>1861</v>
      </c>
      <c r="G280" s="10" t="s">
        <v>1862</v>
      </c>
      <c r="H280" s="11" t="s">
        <v>1863</v>
      </c>
      <c r="I280" s="10" t="s">
        <v>1864</v>
      </c>
      <c r="J280" s="9" t="s">
        <v>1478</v>
      </c>
      <c r="K280" s="9" t="s">
        <v>482</v>
      </c>
      <c r="L280" s="10" t="s">
        <v>785</v>
      </c>
      <c r="M280" s="9" t="s">
        <v>1735</v>
      </c>
      <c r="N280" s="9"/>
      <c r="O280" s="9"/>
      <c r="P280" s="9"/>
      <c r="Q280" s="9" t="s">
        <v>327</v>
      </c>
      <c r="R280" s="9" t="s">
        <v>90</v>
      </c>
      <c r="S280" s="9" t="s">
        <v>91</v>
      </c>
      <c r="T280" s="12" t="n">
        <v>46324</v>
      </c>
      <c r="U280" s="10" t="s">
        <v>1865</v>
      </c>
    </row>
    <row r="281" customFormat="false" ht="23.85" hidden="false" customHeight="false" outlineLevel="0" collapsed="false">
      <c r="A281" s="9" t="s">
        <v>1866</v>
      </c>
      <c r="B281" s="10" t="s">
        <v>1867</v>
      </c>
      <c r="C281" s="9" t="s">
        <v>1722</v>
      </c>
      <c r="D281" s="9" t="s">
        <v>1723</v>
      </c>
      <c r="E281" s="9" t="s">
        <v>1731</v>
      </c>
      <c r="F281" s="9" t="s">
        <v>818</v>
      </c>
      <c r="G281" s="10" t="s">
        <v>1868</v>
      </c>
      <c r="H281" s="11" t="s">
        <v>1869</v>
      </c>
      <c r="I281" s="10" t="s">
        <v>1870</v>
      </c>
      <c r="J281" s="9" t="s">
        <v>1478</v>
      </c>
      <c r="K281" s="9" t="s">
        <v>474</v>
      </c>
      <c r="L281" s="10" t="s">
        <v>785</v>
      </c>
      <c r="M281" s="9" t="s">
        <v>1735</v>
      </c>
      <c r="N281" s="9"/>
      <c r="O281" s="9"/>
      <c r="P281" s="9"/>
      <c r="Q281" s="9" t="s">
        <v>327</v>
      </c>
      <c r="R281" s="9" t="s">
        <v>90</v>
      </c>
      <c r="S281" s="9" t="s">
        <v>167</v>
      </c>
      <c r="T281" s="12" t="n">
        <v>46324</v>
      </c>
      <c r="U281" s="10"/>
    </row>
    <row r="282" customFormat="false" ht="23.85" hidden="false" customHeight="false" outlineLevel="0" collapsed="false">
      <c r="A282" s="9" t="s">
        <v>1871</v>
      </c>
      <c r="B282" s="10" t="s">
        <v>1872</v>
      </c>
      <c r="C282" s="9" t="s">
        <v>1722</v>
      </c>
      <c r="D282" s="9" t="s">
        <v>1723</v>
      </c>
      <c r="E282" s="9" t="s">
        <v>1731</v>
      </c>
      <c r="F282" s="9" t="s">
        <v>1602</v>
      </c>
      <c r="G282" s="10" t="s">
        <v>1873</v>
      </c>
      <c r="H282" s="11" t="s">
        <v>1874</v>
      </c>
      <c r="I282" s="10" t="s">
        <v>1852</v>
      </c>
      <c r="J282" s="9" t="s">
        <v>430</v>
      </c>
      <c r="K282" s="9" t="s">
        <v>523</v>
      </c>
      <c r="L282" s="10" t="s">
        <v>785</v>
      </c>
      <c r="M282" s="9" t="s">
        <v>1735</v>
      </c>
      <c r="N282" s="9"/>
      <c r="O282" s="9"/>
      <c r="P282" s="9"/>
      <c r="Q282" s="9" t="s">
        <v>327</v>
      </c>
      <c r="R282" s="9" t="s">
        <v>90</v>
      </c>
      <c r="S282" s="9" t="s">
        <v>167</v>
      </c>
      <c r="T282" s="12" t="n">
        <v>46324</v>
      </c>
      <c r="U282" s="10"/>
    </row>
    <row r="283" customFormat="false" ht="23.85" hidden="false" customHeight="false" outlineLevel="0" collapsed="false">
      <c r="A283" s="9" t="s">
        <v>1875</v>
      </c>
      <c r="B283" s="10" t="s">
        <v>1876</v>
      </c>
      <c r="C283" s="9" t="s">
        <v>1722</v>
      </c>
      <c r="D283" s="9" t="s">
        <v>1723</v>
      </c>
      <c r="E283" s="9" t="s">
        <v>1731</v>
      </c>
      <c r="F283" s="9" t="s">
        <v>82</v>
      </c>
      <c r="G283" s="10" t="s">
        <v>1877</v>
      </c>
      <c r="H283" s="11" t="s">
        <v>1878</v>
      </c>
      <c r="I283" s="10" t="s">
        <v>1879</v>
      </c>
      <c r="J283" s="9" t="s">
        <v>430</v>
      </c>
      <c r="K283" s="9" t="s">
        <v>523</v>
      </c>
      <c r="L283" s="10" t="s">
        <v>785</v>
      </c>
      <c r="M283" s="9" t="s">
        <v>1735</v>
      </c>
      <c r="N283" s="9"/>
      <c r="O283" s="9"/>
      <c r="P283" s="9"/>
      <c r="Q283" s="9" t="s">
        <v>327</v>
      </c>
      <c r="R283" s="9" t="s">
        <v>90</v>
      </c>
      <c r="S283" s="9" t="s">
        <v>167</v>
      </c>
      <c r="T283" s="12" t="n">
        <v>46324</v>
      </c>
      <c r="U283" s="10" t="s">
        <v>1880</v>
      </c>
    </row>
    <row r="284" customFormat="false" ht="23.85" hidden="false" customHeight="false" outlineLevel="0" collapsed="false">
      <c r="A284" s="9" t="s">
        <v>1881</v>
      </c>
      <c r="B284" s="10" t="s">
        <v>1882</v>
      </c>
      <c r="C284" s="9" t="s">
        <v>1722</v>
      </c>
      <c r="D284" s="9" t="s">
        <v>1723</v>
      </c>
      <c r="E284" s="9" t="s">
        <v>1731</v>
      </c>
      <c r="F284" s="9" t="s">
        <v>752</v>
      </c>
      <c r="G284" s="10" t="s">
        <v>1883</v>
      </c>
      <c r="H284" s="11" t="s">
        <v>1884</v>
      </c>
      <c r="I284" s="10" t="s">
        <v>1770</v>
      </c>
      <c r="J284" s="9" t="s">
        <v>430</v>
      </c>
      <c r="K284" s="9" t="s">
        <v>523</v>
      </c>
      <c r="L284" s="10" t="s">
        <v>785</v>
      </c>
      <c r="M284" s="9" t="s">
        <v>1735</v>
      </c>
      <c r="N284" s="9"/>
      <c r="O284" s="9"/>
      <c r="P284" s="9"/>
      <c r="Q284" s="9" t="s">
        <v>327</v>
      </c>
      <c r="R284" s="9" t="s">
        <v>90</v>
      </c>
      <c r="S284" s="9" t="s">
        <v>167</v>
      </c>
      <c r="T284" s="12" t="n">
        <v>46324</v>
      </c>
      <c r="U284" s="10" t="s">
        <v>1885</v>
      </c>
    </row>
    <row r="285" customFormat="false" ht="23.85" hidden="false" customHeight="false" outlineLevel="0" collapsed="false">
      <c r="A285" s="9" t="s">
        <v>1886</v>
      </c>
      <c r="B285" s="10" t="s">
        <v>1887</v>
      </c>
      <c r="C285" s="9" t="s">
        <v>1722</v>
      </c>
      <c r="D285" s="9" t="s">
        <v>1723</v>
      </c>
      <c r="E285" s="9" t="s">
        <v>1731</v>
      </c>
      <c r="F285" s="9" t="s">
        <v>1639</v>
      </c>
      <c r="G285" s="10" t="s">
        <v>1888</v>
      </c>
      <c r="H285" s="11" t="s">
        <v>1889</v>
      </c>
      <c r="I285" s="10" t="s">
        <v>1852</v>
      </c>
      <c r="J285" s="9" t="s">
        <v>430</v>
      </c>
      <c r="K285" s="9" t="s">
        <v>474</v>
      </c>
      <c r="L285" s="10" t="s">
        <v>785</v>
      </c>
      <c r="M285" s="9" t="s">
        <v>1735</v>
      </c>
      <c r="N285" s="9"/>
      <c r="O285" s="9"/>
      <c r="P285" s="9"/>
      <c r="Q285" s="9" t="s">
        <v>327</v>
      </c>
      <c r="R285" s="9" t="s">
        <v>90</v>
      </c>
      <c r="S285" s="9" t="s">
        <v>167</v>
      </c>
      <c r="T285" s="12" t="n">
        <v>46324</v>
      </c>
      <c r="U285" s="10" t="s">
        <v>1890</v>
      </c>
    </row>
    <row r="286" customFormat="false" ht="23.85" hidden="false" customHeight="false" outlineLevel="0" collapsed="false">
      <c r="A286" s="9" t="s">
        <v>1891</v>
      </c>
      <c r="B286" s="10" t="s">
        <v>1892</v>
      </c>
      <c r="C286" s="9" t="s">
        <v>1722</v>
      </c>
      <c r="D286" s="9" t="s">
        <v>1723</v>
      </c>
      <c r="E286" s="9" t="s">
        <v>1731</v>
      </c>
      <c r="F286" s="9" t="s">
        <v>119</v>
      </c>
      <c r="G286" s="10" t="s">
        <v>1893</v>
      </c>
      <c r="H286" s="11" t="s">
        <v>1894</v>
      </c>
      <c r="I286" s="10" t="s">
        <v>1895</v>
      </c>
      <c r="J286" s="9" t="s">
        <v>430</v>
      </c>
      <c r="K286" s="9" t="s">
        <v>474</v>
      </c>
      <c r="L286" s="10" t="s">
        <v>785</v>
      </c>
      <c r="M286" s="9" t="s">
        <v>1735</v>
      </c>
      <c r="N286" s="9"/>
      <c r="O286" s="9"/>
      <c r="P286" s="9"/>
      <c r="Q286" s="9" t="s">
        <v>327</v>
      </c>
      <c r="R286" s="9" t="s">
        <v>90</v>
      </c>
      <c r="S286" s="9" t="s">
        <v>167</v>
      </c>
      <c r="T286" s="12" t="n">
        <v>46324</v>
      </c>
      <c r="U286" s="10" t="s">
        <v>1896</v>
      </c>
    </row>
    <row r="287" customFormat="false" ht="23.85" hidden="false" customHeight="false" outlineLevel="0" collapsed="false">
      <c r="A287" s="9" t="s">
        <v>1897</v>
      </c>
      <c r="B287" s="10" t="s">
        <v>1898</v>
      </c>
      <c r="C287" s="9" t="s">
        <v>1722</v>
      </c>
      <c r="D287" s="9" t="s">
        <v>1723</v>
      </c>
      <c r="E287" s="9" t="s">
        <v>1731</v>
      </c>
      <c r="F287" s="9" t="s">
        <v>682</v>
      </c>
      <c r="G287" s="10" t="s">
        <v>1899</v>
      </c>
      <c r="H287" s="11" t="s">
        <v>1900</v>
      </c>
      <c r="I287" s="10" t="s">
        <v>1747</v>
      </c>
      <c r="J287" s="9" t="s">
        <v>430</v>
      </c>
      <c r="K287" s="9" t="s">
        <v>482</v>
      </c>
      <c r="L287" s="10" t="s">
        <v>785</v>
      </c>
      <c r="M287" s="9" t="s">
        <v>1735</v>
      </c>
      <c r="N287" s="9"/>
      <c r="O287" s="9"/>
      <c r="P287" s="9"/>
      <c r="Q287" s="9" t="s">
        <v>327</v>
      </c>
      <c r="R287" s="9" t="s">
        <v>90</v>
      </c>
      <c r="S287" s="9" t="s">
        <v>167</v>
      </c>
      <c r="T287" s="12" t="n">
        <v>46324</v>
      </c>
      <c r="U287" s="10" t="s">
        <v>1901</v>
      </c>
    </row>
    <row r="288" customFormat="false" ht="35.05" hidden="false" customHeight="false" outlineLevel="0" collapsed="false">
      <c r="A288" s="9" t="s">
        <v>1902</v>
      </c>
      <c r="B288" s="10" t="s">
        <v>1903</v>
      </c>
      <c r="C288" s="9" t="s">
        <v>1904</v>
      </c>
      <c r="D288" s="9" t="s">
        <v>1905</v>
      </c>
      <c r="E288" s="9" t="s">
        <v>1906</v>
      </c>
      <c r="F288" s="9" t="s">
        <v>103</v>
      </c>
      <c r="G288" s="10" t="s">
        <v>1907</v>
      </c>
      <c r="H288" s="11" t="s">
        <v>1908</v>
      </c>
      <c r="I288" s="10" t="s">
        <v>457</v>
      </c>
      <c r="J288" s="9" t="s">
        <v>148</v>
      </c>
      <c r="K288" s="9" t="s">
        <v>458</v>
      </c>
      <c r="L288" s="10" t="s">
        <v>87</v>
      </c>
      <c r="M288" s="9" t="s">
        <v>88</v>
      </c>
      <c r="N288" s="9"/>
      <c r="O288" s="9"/>
      <c r="P288" s="9"/>
      <c r="Q288" s="9" t="s">
        <v>327</v>
      </c>
      <c r="R288" s="9" t="s">
        <v>90</v>
      </c>
      <c r="S288" s="9" t="s">
        <v>91</v>
      </c>
      <c r="T288" s="12" t="n">
        <v>46324</v>
      </c>
      <c r="U288" s="10" t="s">
        <v>1909</v>
      </c>
    </row>
    <row r="289" customFormat="false" ht="35.05" hidden="false" customHeight="false" outlineLevel="0" collapsed="false">
      <c r="A289" s="9" t="s">
        <v>1910</v>
      </c>
      <c r="B289" s="10" t="s">
        <v>1911</v>
      </c>
      <c r="C289" s="9" t="s">
        <v>1904</v>
      </c>
      <c r="D289" s="9" t="s">
        <v>1905</v>
      </c>
      <c r="E289" s="9" t="s">
        <v>1912</v>
      </c>
      <c r="F289" s="9" t="s">
        <v>103</v>
      </c>
      <c r="G289" s="10" t="s">
        <v>1913</v>
      </c>
      <c r="H289" s="11" t="s">
        <v>1914</v>
      </c>
      <c r="I289" s="10" t="s">
        <v>457</v>
      </c>
      <c r="J289" s="9" t="s">
        <v>148</v>
      </c>
      <c r="K289" s="9" t="s">
        <v>523</v>
      </c>
      <c r="L289" s="10" t="s">
        <v>87</v>
      </c>
      <c r="M289" s="9" t="s">
        <v>475</v>
      </c>
      <c r="N289" s="9"/>
      <c r="O289" s="9"/>
      <c r="P289" s="9"/>
      <c r="Q289" s="9" t="s">
        <v>327</v>
      </c>
      <c r="R289" s="9" t="s">
        <v>90</v>
      </c>
      <c r="S289" s="9" t="s">
        <v>91</v>
      </c>
      <c r="T289" s="12" t="n">
        <v>46324</v>
      </c>
      <c r="U289" s="10" t="s">
        <v>1915</v>
      </c>
    </row>
    <row r="290" customFormat="false" ht="35.05" hidden="false" customHeight="false" outlineLevel="0" collapsed="false">
      <c r="A290" s="9" t="s">
        <v>1916</v>
      </c>
      <c r="B290" s="10" t="s">
        <v>1917</v>
      </c>
      <c r="C290" s="9" t="s">
        <v>1904</v>
      </c>
      <c r="D290" s="9" t="s">
        <v>1905</v>
      </c>
      <c r="E290" s="9" t="s">
        <v>1912</v>
      </c>
      <c r="F290" s="9" t="s">
        <v>82</v>
      </c>
      <c r="G290" s="10" t="s">
        <v>1918</v>
      </c>
      <c r="H290" s="11" t="s">
        <v>1919</v>
      </c>
      <c r="I290" s="10" t="s">
        <v>457</v>
      </c>
      <c r="J290" s="9" t="s">
        <v>148</v>
      </c>
      <c r="K290" s="9" t="s">
        <v>474</v>
      </c>
      <c r="L290" s="10" t="s">
        <v>87</v>
      </c>
      <c r="M290" s="9" t="s">
        <v>88</v>
      </c>
      <c r="N290" s="9"/>
      <c r="O290" s="9"/>
      <c r="P290" s="9"/>
      <c r="Q290" s="9" t="s">
        <v>327</v>
      </c>
      <c r="R290" s="9" t="s">
        <v>90</v>
      </c>
      <c r="S290" s="9" t="s">
        <v>91</v>
      </c>
      <c r="T290" s="12" t="n">
        <v>46324</v>
      </c>
      <c r="U290" s="10" t="s">
        <v>1920</v>
      </c>
    </row>
    <row r="291" customFormat="false" ht="35.05" hidden="false" customHeight="false" outlineLevel="0" collapsed="false">
      <c r="A291" s="9" t="s">
        <v>1921</v>
      </c>
      <c r="B291" s="10" t="s">
        <v>1922</v>
      </c>
      <c r="C291" s="9" t="s">
        <v>1904</v>
      </c>
      <c r="D291" s="9" t="s">
        <v>1905</v>
      </c>
      <c r="E291" s="9" t="s">
        <v>1912</v>
      </c>
      <c r="F291" s="9" t="s">
        <v>95</v>
      </c>
      <c r="G291" s="10" t="s">
        <v>1923</v>
      </c>
      <c r="H291" s="11" t="s">
        <v>1924</v>
      </c>
      <c r="I291" s="10" t="s">
        <v>457</v>
      </c>
      <c r="J291" s="9" t="s">
        <v>148</v>
      </c>
      <c r="K291" s="9" t="s">
        <v>474</v>
      </c>
      <c r="L291" s="10" t="s">
        <v>87</v>
      </c>
      <c r="M291" s="9" t="s">
        <v>88</v>
      </c>
      <c r="N291" s="9"/>
      <c r="O291" s="9"/>
      <c r="P291" s="9"/>
      <c r="Q291" s="9" t="s">
        <v>327</v>
      </c>
      <c r="R291" s="9" t="s">
        <v>90</v>
      </c>
      <c r="S291" s="9" t="s">
        <v>91</v>
      </c>
      <c r="T291" s="12" t="n">
        <v>46324</v>
      </c>
      <c r="U291" s="10" t="s">
        <v>1925</v>
      </c>
    </row>
    <row r="292" customFormat="false" ht="35.05" hidden="false" customHeight="false" outlineLevel="0" collapsed="false">
      <c r="A292" s="9" t="s">
        <v>1926</v>
      </c>
      <c r="B292" s="10" t="s">
        <v>1927</v>
      </c>
      <c r="C292" s="9" t="s">
        <v>1904</v>
      </c>
      <c r="D292" s="9" t="s">
        <v>1905</v>
      </c>
      <c r="E292" s="9" t="s">
        <v>1337</v>
      </c>
      <c r="F292" s="9" t="s">
        <v>103</v>
      </c>
      <c r="G292" s="10" t="s">
        <v>1928</v>
      </c>
      <c r="H292" s="11" t="s">
        <v>1929</v>
      </c>
      <c r="I292" s="10" t="s">
        <v>457</v>
      </c>
      <c r="J292" s="9" t="s">
        <v>148</v>
      </c>
      <c r="K292" s="9" t="s">
        <v>474</v>
      </c>
      <c r="L292" s="10" t="s">
        <v>87</v>
      </c>
      <c r="M292" s="9" t="s">
        <v>88</v>
      </c>
      <c r="N292" s="9"/>
      <c r="O292" s="9"/>
      <c r="P292" s="9"/>
      <c r="Q292" s="9" t="s">
        <v>327</v>
      </c>
      <c r="R292" s="9" t="s">
        <v>90</v>
      </c>
      <c r="S292" s="9" t="s">
        <v>91</v>
      </c>
      <c r="T292" s="12" t="n">
        <v>46324</v>
      </c>
      <c r="U292" s="10" t="s">
        <v>1930</v>
      </c>
    </row>
    <row r="293" customFormat="false" ht="35.05" hidden="false" customHeight="false" outlineLevel="0" collapsed="false">
      <c r="A293" s="9" t="s">
        <v>1931</v>
      </c>
      <c r="B293" s="10" t="s">
        <v>1932</v>
      </c>
      <c r="C293" s="9" t="s">
        <v>1904</v>
      </c>
      <c r="D293" s="9" t="s">
        <v>1905</v>
      </c>
      <c r="E293" s="9" t="s">
        <v>1337</v>
      </c>
      <c r="F293" s="9" t="s">
        <v>95</v>
      </c>
      <c r="G293" s="10" t="s">
        <v>1933</v>
      </c>
      <c r="H293" s="11" t="s">
        <v>1934</v>
      </c>
      <c r="I293" s="10" t="s">
        <v>588</v>
      </c>
      <c r="J293" s="9" t="s">
        <v>430</v>
      </c>
      <c r="K293" s="9" t="s">
        <v>458</v>
      </c>
      <c r="L293" s="10" t="s">
        <v>87</v>
      </c>
      <c r="M293" s="9" t="s">
        <v>88</v>
      </c>
      <c r="N293" s="9"/>
      <c r="O293" s="9"/>
      <c r="P293" s="9"/>
      <c r="Q293" s="9" t="s">
        <v>327</v>
      </c>
      <c r="R293" s="9" t="s">
        <v>90</v>
      </c>
      <c r="S293" s="9" t="s">
        <v>91</v>
      </c>
      <c r="T293" s="12" t="n">
        <v>46324</v>
      </c>
      <c r="U293" s="10" t="s">
        <v>1935</v>
      </c>
    </row>
    <row r="294" customFormat="false" ht="23.85" hidden="false" customHeight="false" outlineLevel="0" collapsed="false">
      <c r="A294" s="9" t="s">
        <v>1936</v>
      </c>
      <c r="B294" s="10" t="s">
        <v>1937</v>
      </c>
      <c r="C294" s="9" t="s">
        <v>1904</v>
      </c>
      <c r="D294" s="9" t="s">
        <v>1905</v>
      </c>
      <c r="E294" s="9" t="s">
        <v>1337</v>
      </c>
      <c r="F294" s="9" t="s">
        <v>95</v>
      </c>
      <c r="G294" s="10" t="s">
        <v>1938</v>
      </c>
      <c r="H294" s="11" t="s">
        <v>1939</v>
      </c>
      <c r="I294" s="10" t="s">
        <v>588</v>
      </c>
      <c r="J294" s="9" t="s">
        <v>430</v>
      </c>
      <c r="K294" s="9" t="s">
        <v>458</v>
      </c>
      <c r="L294" s="10" t="s">
        <v>87</v>
      </c>
      <c r="M294" s="9" t="s">
        <v>88</v>
      </c>
      <c r="N294" s="9"/>
      <c r="O294" s="9"/>
      <c r="P294" s="9"/>
      <c r="Q294" s="9" t="s">
        <v>327</v>
      </c>
      <c r="R294" s="9" t="s">
        <v>90</v>
      </c>
      <c r="S294" s="9" t="s">
        <v>91</v>
      </c>
      <c r="T294" s="12" t="n">
        <v>46324</v>
      </c>
      <c r="U294" s="10" t="s">
        <v>1940</v>
      </c>
    </row>
    <row r="295" customFormat="false" ht="35.05" hidden="false" customHeight="false" outlineLevel="0" collapsed="false">
      <c r="A295" s="9" t="s">
        <v>1941</v>
      </c>
      <c r="B295" s="10" t="s">
        <v>1942</v>
      </c>
      <c r="C295" s="9" t="s">
        <v>1904</v>
      </c>
      <c r="D295" s="9" t="s">
        <v>1905</v>
      </c>
      <c r="E295" s="9" t="s">
        <v>1906</v>
      </c>
      <c r="F295" s="9" t="s">
        <v>103</v>
      </c>
      <c r="G295" s="10" t="s">
        <v>1943</v>
      </c>
      <c r="H295" s="11" t="s">
        <v>1944</v>
      </c>
      <c r="I295" s="10" t="s">
        <v>557</v>
      </c>
      <c r="J295" s="9" t="s">
        <v>430</v>
      </c>
      <c r="K295" s="9" t="s">
        <v>474</v>
      </c>
      <c r="L295" s="10" t="s">
        <v>87</v>
      </c>
      <c r="M295" s="9" t="s">
        <v>88</v>
      </c>
      <c r="N295" s="9"/>
      <c r="O295" s="9"/>
      <c r="P295" s="9"/>
      <c r="Q295" s="9" t="s">
        <v>327</v>
      </c>
      <c r="R295" s="9" t="s">
        <v>90</v>
      </c>
      <c r="S295" s="9" t="s">
        <v>91</v>
      </c>
      <c r="T295" s="12" t="n">
        <v>46324</v>
      </c>
      <c r="U295" s="10" t="s">
        <v>1945</v>
      </c>
    </row>
    <row r="296" customFormat="false" ht="35.05" hidden="false" customHeight="false" outlineLevel="0" collapsed="false">
      <c r="A296" s="9" t="s">
        <v>1946</v>
      </c>
      <c r="B296" s="10" t="s">
        <v>1947</v>
      </c>
      <c r="C296" s="9" t="s">
        <v>1904</v>
      </c>
      <c r="D296" s="9" t="s">
        <v>1905</v>
      </c>
      <c r="E296" s="9" t="s">
        <v>1912</v>
      </c>
      <c r="F296" s="9" t="s">
        <v>103</v>
      </c>
      <c r="G296" s="10" t="s">
        <v>1948</v>
      </c>
      <c r="H296" s="11" t="s">
        <v>1949</v>
      </c>
      <c r="I296" s="10" t="s">
        <v>550</v>
      </c>
      <c r="J296" s="9" t="s">
        <v>430</v>
      </c>
      <c r="K296" s="9" t="s">
        <v>474</v>
      </c>
      <c r="L296" s="10" t="s">
        <v>607</v>
      </c>
      <c r="M296" s="9" t="s">
        <v>475</v>
      </c>
      <c r="N296" s="9"/>
      <c r="O296" s="9"/>
      <c r="P296" s="9"/>
      <c r="Q296" s="9" t="s">
        <v>327</v>
      </c>
      <c r="R296" s="9" t="s">
        <v>90</v>
      </c>
      <c r="S296" s="9" t="s">
        <v>91</v>
      </c>
      <c r="T296" s="12" t="n">
        <v>46324</v>
      </c>
      <c r="U296" s="10" t="s">
        <v>1950</v>
      </c>
    </row>
    <row r="297" customFormat="false" ht="23.85" hidden="false" customHeight="false" outlineLevel="0" collapsed="false">
      <c r="A297" s="9" t="s">
        <v>1951</v>
      </c>
      <c r="B297" s="10" t="s">
        <v>1952</v>
      </c>
      <c r="C297" s="9" t="s">
        <v>1904</v>
      </c>
      <c r="D297" s="9" t="s">
        <v>1905</v>
      </c>
      <c r="E297" s="9" t="s">
        <v>1906</v>
      </c>
      <c r="F297" s="9" t="s">
        <v>103</v>
      </c>
      <c r="G297" s="10" t="s">
        <v>1953</v>
      </c>
      <c r="H297" s="11" t="s">
        <v>1954</v>
      </c>
      <c r="I297" s="10" t="s">
        <v>550</v>
      </c>
      <c r="J297" s="9" t="s">
        <v>430</v>
      </c>
      <c r="K297" s="9" t="s">
        <v>474</v>
      </c>
      <c r="L297" s="10" t="s">
        <v>87</v>
      </c>
      <c r="M297" s="9" t="s">
        <v>1955</v>
      </c>
      <c r="N297" s="9"/>
      <c r="O297" s="9"/>
      <c r="P297" s="9"/>
      <c r="Q297" s="9" t="s">
        <v>327</v>
      </c>
      <c r="R297" s="9" t="s">
        <v>90</v>
      </c>
      <c r="S297" s="9" t="s">
        <v>91</v>
      </c>
      <c r="T297" s="12" t="n">
        <v>46324</v>
      </c>
      <c r="U297" s="10" t="s">
        <v>1956</v>
      </c>
    </row>
    <row r="298" customFormat="false" ht="35.05" hidden="false" customHeight="false" outlineLevel="0" collapsed="false">
      <c r="A298" s="9" t="s">
        <v>1957</v>
      </c>
      <c r="B298" s="10" t="s">
        <v>1958</v>
      </c>
      <c r="C298" s="9" t="s">
        <v>1904</v>
      </c>
      <c r="D298" s="9" t="s">
        <v>1905</v>
      </c>
      <c r="E298" s="9" t="s">
        <v>1959</v>
      </c>
      <c r="F298" s="9" t="s">
        <v>103</v>
      </c>
      <c r="G298" s="10" t="s">
        <v>1960</v>
      </c>
      <c r="H298" s="11" t="s">
        <v>1961</v>
      </c>
      <c r="I298" s="10" t="s">
        <v>613</v>
      </c>
      <c r="J298" s="9" t="s">
        <v>430</v>
      </c>
      <c r="K298" s="9" t="s">
        <v>474</v>
      </c>
      <c r="L298" s="10" t="s">
        <v>87</v>
      </c>
      <c r="M298" s="9" t="s">
        <v>475</v>
      </c>
      <c r="N298" s="9"/>
      <c r="O298" s="9"/>
      <c r="P298" s="9"/>
      <c r="Q298" s="9" t="s">
        <v>327</v>
      </c>
      <c r="R298" s="9" t="s">
        <v>90</v>
      </c>
      <c r="S298" s="9" t="s">
        <v>91</v>
      </c>
      <c r="T298" s="12" t="n">
        <v>46324</v>
      </c>
      <c r="U298" s="10" t="s">
        <v>1962</v>
      </c>
    </row>
    <row r="299" customFormat="false" ht="23.85" hidden="false" customHeight="false" outlineLevel="0" collapsed="false">
      <c r="A299" s="9" t="s">
        <v>1963</v>
      </c>
      <c r="B299" s="10" t="s">
        <v>1964</v>
      </c>
      <c r="C299" s="9" t="s">
        <v>1904</v>
      </c>
      <c r="D299" s="9" t="s">
        <v>1905</v>
      </c>
      <c r="E299" s="9" t="s">
        <v>1337</v>
      </c>
      <c r="F299" s="9" t="s">
        <v>440</v>
      </c>
      <c r="G299" s="10" t="s">
        <v>1965</v>
      </c>
      <c r="H299" s="11" t="s">
        <v>1966</v>
      </c>
      <c r="I299" s="10" t="s">
        <v>613</v>
      </c>
      <c r="J299" s="9" t="s">
        <v>430</v>
      </c>
      <c r="K299" s="9" t="s">
        <v>458</v>
      </c>
      <c r="L299" s="10" t="s">
        <v>87</v>
      </c>
      <c r="M299" s="9" t="s">
        <v>88</v>
      </c>
      <c r="N299" s="9"/>
      <c r="O299" s="9"/>
      <c r="P299" s="9"/>
      <c r="Q299" s="9" t="s">
        <v>327</v>
      </c>
      <c r="R299" s="9" t="s">
        <v>90</v>
      </c>
      <c r="S299" s="9" t="s">
        <v>91</v>
      </c>
      <c r="T299" s="12" t="n">
        <v>46324</v>
      </c>
      <c r="U299" s="10" t="s">
        <v>1967</v>
      </c>
    </row>
    <row r="300" customFormat="false" ht="46.25" hidden="false" customHeight="false" outlineLevel="0" collapsed="false">
      <c r="A300" s="9" t="s">
        <v>1968</v>
      </c>
      <c r="B300" s="10" t="s">
        <v>1969</v>
      </c>
      <c r="C300" s="9" t="s">
        <v>1904</v>
      </c>
      <c r="D300" s="9" t="s">
        <v>1905</v>
      </c>
      <c r="E300" s="9" t="s">
        <v>1912</v>
      </c>
      <c r="F300" s="9" t="s">
        <v>1044</v>
      </c>
      <c r="G300" s="10" t="s">
        <v>1970</v>
      </c>
      <c r="H300" s="11" t="s">
        <v>1971</v>
      </c>
      <c r="I300" s="10" t="s">
        <v>649</v>
      </c>
      <c r="J300" s="9" t="s">
        <v>430</v>
      </c>
      <c r="K300" s="9" t="s">
        <v>458</v>
      </c>
      <c r="L300" s="10" t="s">
        <v>607</v>
      </c>
      <c r="M300" s="9" t="s">
        <v>88</v>
      </c>
      <c r="N300" s="9"/>
      <c r="O300" s="9"/>
      <c r="P300" s="9"/>
      <c r="Q300" s="9" t="s">
        <v>327</v>
      </c>
      <c r="R300" s="9" t="s">
        <v>90</v>
      </c>
      <c r="S300" s="9" t="s">
        <v>91</v>
      </c>
      <c r="T300" s="12" t="n">
        <v>46324</v>
      </c>
      <c r="U300" s="10" t="s">
        <v>1972</v>
      </c>
    </row>
    <row r="301" customFormat="false" ht="46.25" hidden="false" customHeight="false" outlineLevel="0" collapsed="false">
      <c r="A301" s="9" t="s">
        <v>1973</v>
      </c>
      <c r="B301" s="10" t="s">
        <v>1974</v>
      </c>
      <c r="C301" s="9" t="s">
        <v>1904</v>
      </c>
      <c r="D301" s="9" t="s">
        <v>1905</v>
      </c>
      <c r="E301" s="9" t="s">
        <v>1906</v>
      </c>
      <c r="F301" s="9" t="s">
        <v>82</v>
      </c>
      <c r="G301" s="10" t="s">
        <v>1975</v>
      </c>
      <c r="H301" s="11" t="s">
        <v>1976</v>
      </c>
      <c r="I301" s="10" t="s">
        <v>386</v>
      </c>
      <c r="J301" s="9" t="s">
        <v>86</v>
      </c>
      <c r="K301" s="9" t="s">
        <v>474</v>
      </c>
      <c r="L301" s="10" t="s">
        <v>87</v>
      </c>
      <c r="M301" s="9" t="s">
        <v>1955</v>
      </c>
      <c r="N301" s="9"/>
      <c r="O301" s="9"/>
      <c r="P301" s="9"/>
      <c r="Q301" s="9" t="s">
        <v>327</v>
      </c>
      <c r="R301" s="9" t="s">
        <v>90</v>
      </c>
      <c r="S301" s="9" t="s">
        <v>91</v>
      </c>
      <c r="T301" s="12" t="n">
        <v>46324</v>
      </c>
      <c r="U301" s="10" t="s">
        <v>1977</v>
      </c>
    </row>
    <row r="302" customFormat="false" ht="35.05" hidden="false" customHeight="false" outlineLevel="0" collapsed="false">
      <c r="A302" s="9" t="s">
        <v>1978</v>
      </c>
      <c r="B302" s="10" t="s">
        <v>1979</v>
      </c>
      <c r="C302" s="9" t="s">
        <v>1904</v>
      </c>
      <c r="D302" s="9" t="s">
        <v>1905</v>
      </c>
      <c r="E302" s="9" t="s">
        <v>1959</v>
      </c>
      <c r="F302" s="9" t="s">
        <v>82</v>
      </c>
      <c r="G302" s="10" t="s">
        <v>1980</v>
      </c>
      <c r="H302" s="11" t="s">
        <v>1981</v>
      </c>
      <c r="I302" s="10" t="s">
        <v>1982</v>
      </c>
      <c r="J302" s="9" t="s">
        <v>134</v>
      </c>
      <c r="K302" s="9" t="s">
        <v>523</v>
      </c>
      <c r="L302" s="10" t="s">
        <v>87</v>
      </c>
      <c r="M302" s="9" t="s">
        <v>88</v>
      </c>
      <c r="N302" s="9"/>
      <c r="O302" s="9"/>
      <c r="P302" s="9"/>
      <c r="Q302" s="9" t="s">
        <v>327</v>
      </c>
      <c r="R302" s="9" t="s">
        <v>90</v>
      </c>
      <c r="S302" s="9" t="s">
        <v>91</v>
      </c>
      <c r="T302" s="12" t="n">
        <v>46324</v>
      </c>
      <c r="U302" s="10" t="s">
        <v>1983</v>
      </c>
    </row>
    <row r="303" customFormat="false" ht="35.05" hidden="false" customHeight="false" outlineLevel="0" collapsed="false">
      <c r="A303" s="9" t="s">
        <v>1984</v>
      </c>
      <c r="B303" s="10" t="s">
        <v>1985</v>
      </c>
      <c r="C303" s="9" t="s">
        <v>1904</v>
      </c>
      <c r="D303" s="9" t="s">
        <v>1905</v>
      </c>
      <c r="E303" s="9" t="s">
        <v>1912</v>
      </c>
      <c r="F303" s="9" t="s">
        <v>1821</v>
      </c>
      <c r="G303" s="10" t="s">
        <v>1986</v>
      </c>
      <c r="H303" s="11" t="s">
        <v>1987</v>
      </c>
      <c r="I303" s="10" t="s">
        <v>1982</v>
      </c>
      <c r="J303" s="9" t="s">
        <v>134</v>
      </c>
      <c r="K303" s="9" t="s">
        <v>474</v>
      </c>
      <c r="L303" s="10" t="s">
        <v>87</v>
      </c>
      <c r="M303" s="9" t="s">
        <v>475</v>
      </c>
      <c r="N303" s="9"/>
      <c r="O303" s="9"/>
      <c r="P303" s="9"/>
      <c r="Q303" s="9" t="s">
        <v>327</v>
      </c>
      <c r="R303" s="9" t="s">
        <v>90</v>
      </c>
      <c r="S303" s="9" t="s">
        <v>91</v>
      </c>
      <c r="T303" s="12" t="n">
        <v>46324</v>
      </c>
      <c r="U303" s="10" t="s">
        <v>1988</v>
      </c>
    </row>
    <row r="304" customFormat="false" ht="46.25" hidden="false" customHeight="false" outlineLevel="0" collapsed="false">
      <c r="A304" s="9" t="s">
        <v>1989</v>
      </c>
      <c r="B304" s="10" t="s">
        <v>1990</v>
      </c>
      <c r="C304" s="9" t="s">
        <v>1904</v>
      </c>
      <c r="D304" s="9" t="s">
        <v>1905</v>
      </c>
      <c r="E304" s="9" t="s">
        <v>1906</v>
      </c>
      <c r="F304" s="9" t="s">
        <v>82</v>
      </c>
      <c r="G304" s="10" t="s">
        <v>1991</v>
      </c>
      <c r="H304" s="11" t="s">
        <v>1992</v>
      </c>
      <c r="I304" s="10" t="s">
        <v>358</v>
      </c>
      <c r="J304" s="9" t="s">
        <v>86</v>
      </c>
      <c r="K304" s="9" t="s">
        <v>482</v>
      </c>
      <c r="L304" s="10" t="s">
        <v>87</v>
      </c>
      <c r="M304" s="9" t="s">
        <v>1955</v>
      </c>
      <c r="N304" s="9"/>
      <c r="O304" s="9"/>
      <c r="P304" s="9"/>
      <c r="Q304" s="9" t="s">
        <v>327</v>
      </c>
      <c r="R304" s="9" t="s">
        <v>90</v>
      </c>
      <c r="S304" s="9" t="s">
        <v>167</v>
      </c>
      <c r="T304" s="12" t="n">
        <v>46324</v>
      </c>
      <c r="U304" s="10" t="s">
        <v>1993</v>
      </c>
    </row>
    <row r="305" customFormat="false" ht="46.25" hidden="false" customHeight="false" outlineLevel="0" collapsed="false">
      <c r="A305" s="9" t="s">
        <v>1994</v>
      </c>
      <c r="B305" s="10" t="s">
        <v>1995</v>
      </c>
      <c r="C305" s="9" t="s">
        <v>1904</v>
      </c>
      <c r="D305" s="9" t="s">
        <v>1905</v>
      </c>
      <c r="E305" s="9" t="s">
        <v>1337</v>
      </c>
      <c r="F305" s="9" t="s">
        <v>103</v>
      </c>
      <c r="G305" s="10" t="s">
        <v>1996</v>
      </c>
      <c r="H305" s="11" t="s">
        <v>1997</v>
      </c>
      <c r="I305" s="10" t="s">
        <v>1998</v>
      </c>
      <c r="J305" s="9" t="s">
        <v>148</v>
      </c>
      <c r="K305" s="9" t="s">
        <v>458</v>
      </c>
      <c r="L305" s="10" t="s">
        <v>87</v>
      </c>
      <c r="M305" s="9" t="s">
        <v>88</v>
      </c>
      <c r="N305" s="9"/>
      <c r="O305" s="9"/>
      <c r="P305" s="9"/>
      <c r="Q305" s="9" t="s">
        <v>327</v>
      </c>
      <c r="R305" s="9" t="s">
        <v>90</v>
      </c>
      <c r="S305" s="9" t="s">
        <v>167</v>
      </c>
      <c r="T305" s="12" t="n">
        <v>46324</v>
      </c>
      <c r="U305" s="10" t="s">
        <v>1999</v>
      </c>
    </row>
    <row r="306" customFormat="false" ht="35.05" hidden="false" customHeight="false" outlineLevel="0" collapsed="false">
      <c r="A306" s="9" t="s">
        <v>2000</v>
      </c>
      <c r="B306" s="10" t="s">
        <v>2001</v>
      </c>
      <c r="C306" s="9" t="s">
        <v>1904</v>
      </c>
      <c r="D306" s="9" t="s">
        <v>1905</v>
      </c>
      <c r="E306" s="9" t="s">
        <v>1906</v>
      </c>
      <c r="F306" s="9" t="s">
        <v>103</v>
      </c>
      <c r="G306" s="10" t="s">
        <v>2002</v>
      </c>
      <c r="H306" s="11" t="s">
        <v>2003</v>
      </c>
      <c r="I306" s="10" t="s">
        <v>1998</v>
      </c>
      <c r="J306" s="9" t="s">
        <v>148</v>
      </c>
      <c r="K306" s="9" t="s">
        <v>474</v>
      </c>
      <c r="L306" s="10" t="s">
        <v>87</v>
      </c>
      <c r="M306" s="9" t="s">
        <v>1955</v>
      </c>
      <c r="N306" s="9"/>
      <c r="O306" s="9"/>
      <c r="P306" s="9"/>
      <c r="Q306" s="9" t="s">
        <v>327</v>
      </c>
      <c r="R306" s="9" t="s">
        <v>90</v>
      </c>
      <c r="S306" s="9" t="s">
        <v>167</v>
      </c>
      <c r="T306" s="12" t="n">
        <v>46324</v>
      </c>
      <c r="U306" s="10" t="s">
        <v>2004</v>
      </c>
    </row>
    <row r="307" customFormat="false" ht="35.05" hidden="false" customHeight="false" outlineLevel="0" collapsed="false">
      <c r="A307" s="9" t="s">
        <v>2005</v>
      </c>
      <c r="B307" s="10" t="s">
        <v>2006</v>
      </c>
      <c r="C307" s="9" t="s">
        <v>1904</v>
      </c>
      <c r="D307" s="9" t="s">
        <v>1905</v>
      </c>
      <c r="E307" s="9" t="s">
        <v>1906</v>
      </c>
      <c r="F307" s="9" t="s">
        <v>152</v>
      </c>
      <c r="G307" s="10" t="s">
        <v>2007</v>
      </c>
      <c r="H307" s="11" t="s">
        <v>2008</v>
      </c>
      <c r="I307" s="10" t="s">
        <v>2009</v>
      </c>
      <c r="J307" s="9" t="s">
        <v>430</v>
      </c>
      <c r="K307" s="9" t="s">
        <v>523</v>
      </c>
      <c r="L307" s="10" t="s">
        <v>607</v>
      </c>
      <c r="M307" s="9" t="s">
        <v>88</v>
      </c>
      <c r="N307" s="9"/>
      <c r="O307" s="9"/>
      <c r="P307" s="9"/>
      <c r="Q307" s="9" t="s">
        <v>327</v>
      </c>
      <c r="R307" s="9" t="s">
        <v>90</v>
      </c>
      <c r="S307" s="9" t="s">
        <v>91</v>
      </c>
      <c r="T307" s="12" t="n">
        <v>46324</v>
      </c>
      <c r="U307" s="10" t="s">
        <v>2010</v>
      </c>
    </row>
    <row r="308" customFormat="false" ht="35.05" hidden="false" customHeight="false" outlineLevel="0" collapsed="false">
      <c r="A308" s="9" t="s">
        <v>2011</v>
      </c>
      <c r="B308" s="10" t="s">
        <v>2012</v>
      </c>
      <c r="C308" s="9" t="s">
        <v>1904</v>
      </c>
      <c r="D308" s="9" t="s">
        <v>1905</v>
      </c>
      <c r="E308" s="9" t="s">
        <v>1906</v>
      </c>
      <c r="F308" s="9" t="s">
        <v>103</v>
      </c>
      <c r="G308" s="10" t="s">
        <v>2013</v>
      </c>
      <c r="H308" s="11" t="s">
        <v>2014</v>
      </c>
      <c r="I308" s="10" t="s">
        <v>2015</v>
      </c>
      <c r="J308" s="9" t="s">
        <v>430</v>
      </c>
      <c r="K308" s="9" t="s">
        <v>523</v>
      </c>
      <c r="L308" s="10" t="s">
        <v>607</v>
      </c>
      <c r="M308" s="9" t="s">
        <v>88</v>
      </c>
      <c r="N308" s="9"/>
      <c r="O308" s="9"/>
      <c r="P308" s="9"/>
      <c r="Q308" s="9" t="s">
        <v>327</v>
      </c>
      <c r="R308" s="9" t="s">
        <v>90</v>
      </c>
      <c r="S308" s="9" t="s">
        <v>167</v>
      </c>
      <c r="T308" s="12" t="n">
        <v>46324</v>
      </c>
      <c r="U308" s="10" t="s">
        <v>2016</v>
      </c>
    </row>
    <row r="309" customFormat="false" ht="46.25" hidden="false" customHeight="false" outlineLevel="0" collapsed="false">
      <c r="A309" s="9" t="s">
        <v>2017</v>
      </c>
      <c r="B309" s="10" t="s">
        <v>2018</v>
      </c>
      <c r="C309" s="9" t="s">
        <v>1904</v>
      </c>
      <c r="D309" s="9" t="s">
        <v>1905</v>
      </c>
      <c r="E309" s="9" t="s">
        <v>1906</v>
      </c>
      <c r="F309" s="9" t="s">
        <v>103</v>
      </c>
      <c r="G309" s="10" t="s">
        <v>2019</v>
      </c>
      <c r="H309" s="11" t="s">
        <v>2020</v>
      </c>
      <c r="I309" s="10" t="s">
        <v>2021</v>
      </c>
      <c r="J309" s="9" t="s">
        <v>430</v>
      </c>
      <c r="K309" s="9" t="s">
        <v>482</v>
      </c>
      <c r="L309" s="10" t="s">
        <v>87</v>
      </c>
      <c r="M309" s="9" t="s">
        <v>1955</v>
      </c>
      <c r="N309" s="9"/>
      <c r="O309" s="9"/>
      <c r="P309" s="9"/>
      <c r="Q309" s="9" t="s">
        <v>327</v>
      </c>
      <c r="R309" s="9" t="s">
        <v>90</v>
      </c>
      <c r="S309" s="9" t="s">
        <v>91</v>
      </c>
      <c r="T309" s="12" t="n">
        <v>46324</v>
      </c>
      <c r="U309" s="10" t="s">
        <v>2022</v>
      </c>
    </row>
    <row r="310" customFormat="false" ht="23.85" hidden="false" customHeight="false" outlineLevel="0" collapsed="false">
      <c r="A310" s="9" t="s">
        <v>2023</v>
      </c>
      <c r="B310" s="10" t="s">
        <v>2024</v>
      </c>
      <c r="C310" s="9" t="s">
        <v>1904</v>
      </c>
      <c r="D310" s="9" t="s">
        <v>1905</v>
      </c>
      <c r="E310" s="9" t="s">
        <v>1906</v>
      </c>
      <c r="F310" s="9" t="s">
        <v>103</v>
      </c>
      <c r="G310" s="10" t="s">
        <v>2025</v>
      </c>
      <c r="H310" s="11" t="s">
        <v>2026</v>
      </c>
      <c r="I310" s="10" t="s">
        <v>2024</v>
      </c>
      <c r="J310" s="9" t="s">
        <v>430</v>
      </c>
      <c r="K310" s="9" t="s">
        <v>482</v>
      </c>
      <c r="L310" s="10" t="s">
        <v>607</v>
      </c>
      <c r="M310" s="9" t="s">
        <v>88</v>
      </c>
      <c r="N310" s="9"/>
      <c r="O310" s="9"/>
      <c r="P310" s="9"/>
      <c r="Q310" s="9" t="s">
        <v>327</v>
      </c>
      <c r="R310" s="9" t="s">
        <v>90</v>
      </c>
      <c r="S310" s="9" t="s">
        <v>91</v>
      </c>
      <c r="T310" s="12" t="n">
        <v>46324</v>
      </c>
      <c r="U310" s="10" t="s">
        <v>2027</v>
      </c>
    </row>
    <row r="311" customFormat="false" ht="46.25" hidden="false" customHeight="false" outlineLevel="0" collapsed="false">
      <c r="A311" s="9" t="s">
        <v>2028</v>
      </c>
      <c r="B311" s="10" t="s">
        <v>2029</v>
      </c>
      <c r="C311" s="9" t="s">
        <v>1904</v>
      </c>
      <c r="D311" s="9" t="s">
        <v>1905</v>
      </c>
      <c r="E311" s="9" t="s">
        <v>1912</v>
      </c>
      <c r="F311" s="9" t="s">
        <v>95</v>
      </c>
      <c r="G311" s="10" t="s">
        <v>2030</v>
      </c>
      <c r="H311" s="11" t="s">
        <v>2031</v>
      </c>
      <c r="I311" s="10" t="s">
        <v>2032</v>
      </c>
      <c r="J311" s="9" t="s">
        <v>430</v>
      </c>
      <c r="K311" s="9" t="s">
        <v>482</v>
      </c>
      <c r="L311" s="10" t="s">
        <v>87</v>
      </c>
      <c r="M311" s="9" t="s">
        <v>1955</v>
      </c>
      <c r="N311" s="9"/>
      <c r="O311" s="9"/>
      <c r="P311" s="9"/>
      <c r="Q311" s="9" t="s">
        <v>327</v>
      </c>
      <c r="R311" s="9" t="s">
        <v>90</v>
      </c>
      <c r="S311" s="9" t="s">
        <v>167</v>
      </c>
      <c r="T311" s="12" t="n">
        <v>46324</v>
      </c>
      <c r="U311" s="10" t="s">
        <v>2033</v>
      </c>
    </row>
    <row r="312" customFormat="false" ht="46.25" hidden="false" customHeight="false" outlineLevel="0" collapsed="false">
      <c r="A312" s="9" t="s">
        <v>2034</v>
      </c>
      <c r="B312" s="10" t="s">
        <v>2035</v>
      </c>
      <c r="C312" s="9" t="s">
        <v>1904</v>
      </c>
      <c r="D312" s="9" t="s">
        <v>1905</v>
      </c>
      <c r="E312" s="9" t="s">
        <v>1912</v>
      </c>
      <c r="F312" s="9" t="s">
        <v>95</v>
      </c>
      <c r="G312" s="10" t="s">
        <v>2036</v>
      </c>
      <c r="H312" s="11" t="s">
        <v>2037</v>
      </c>
      <c r="I312" s="10" t="s">
        <v>2038</v>
      </c>
      <c r="J312" s="9" t="s">
        <v>304</v>
      </c>
      <c r="K312" s="9" t="s">
        <v>482</v>
      </c>
      <c r="L312" s="10" t="s">
        <v>87</v>
      </c>
      <c r="M312" s="9" t="s">
        <v>1955</v>
      </c>
      <c r="N312" s="9"/>
      <c r="O312" s="9"/>
      <c r="P312" s="9"/>
      <c r="Q312" s="9" t="s">
        <v>327</v>
      </c>
      <c r="R312" s="9" t="s">
        <v>90</v>
      </c>
      <c r="S312" s="9" t="s">
        <v>91</v>
      </c>
      <c r="T312" s="12" t="n">
        <v>46324</v>
      </c>
      <c r="U312" s="10" t="s">
        <v>2039</v>
      </c>
    </row>
    <row r="313" customFormat="false" ht="35.05" hidden="false" customHeight="false" outlineLevel="0" collapsed="false">
      <c r="A313" s="9" t="s">
        <v>2040</v>
      </c>
      <c r="B313" s="10" t="s">
        <v>649</v>
      </c>
      <c r="C313" s="9" t="s">
        <v>2041</v>
      </c>
      <c r="D313" s="9" t="s">
        <v>2042</v>
      </c>
      <c r="E313" s="9" t="s">
        <v>2043</v>
      </c>
      <c r="F313" s="9" t="s">
        <v>259</v>
      </c>
      <c r="G313" s="10" t="s">
        <v>2044</v>
      </c>
      <c r="H313" s="11" t="s">
        <v>2045</v>
      </c>
      <c r="I313" s="10" t="s">
        <v>2046</v>
      </c>
      <c r="J313" s="9" t="s">
        <v>430</v>
      </c>
      <c r="K313" s="9" t="s">
        <v>458</v>
      </c>
      <c r="L313" s="10" t="s">
        <v>1323</v>
      </c>
      <c r="M313" s="9" t="s">
        <v>88</v>
      </c>
      <c r="N313" s="9"/>
      <c r="O313" s="9"/>
      <c r="P313" s="9"/>
      <c r="Q313" s="9" t="s">
        <v>327</v>
      </c>
      <c r="R313" s="9" t="s">
        <v>90</v>
      </c>
      <c r="S313" s="9" t="s">
        <v>91</v>
      </c>
      <c r="T313" s="12" t="n">
        <v>46324</v>
      </c>
      <c r="U313" s="10" t="s">
        <v>2047</v>
      </c>
    </row>
    <row r="314" customFormat="false" ht="23.85" hidden="false" customHeight="false" outlineLevel="0" collapsed="false">
      <c r="A314" s="9" t="s">
        <v>2048</v>
      </c>
      <c r="B314" s="10" t="s">
        <v>2049</v>
      </c>
      <c r="C314" s="9" t="s">
        <v>2041</v>
      </c>
      <c r="D314" s="9" t="s">
        <v>2042</v>
      </c>
      <c r="E314" s="9" t="s">
        <v>2050</v>
      </c>
      <c r="F314" s="9" t="s">
        <v>82</v>
      </c>
      <c r="G314" s="10" t="s">
        <v>2051</v>
      </c>
      <c r="H314" s="11" t="s">
        <v>2052</v>
      </c>
      <c r="I314" s="10" t="s">
        <v>649</v>
      </c>
      <c r="J314" s="9" t="s">
        <v>430</v>
      </c>
      <c r="K314" s="9" t="s">
        <v>458</v>
      </c>
      <c r="L314" s="10" t="s">
        <v>1323</v>
      </c>
      <c r="M314" s="9" t="s">
        <v>88</v>
      </c>
      <c r="N314" s="9"/>
      <c r="O314" s="9"/>
      <c r="P314" s="9"/>
      <c r="Q314" s="9" t="s">
        <v>327</v>
      </c>
      <c r="R314" s="9" t="s">
        <v>90</v>
      </c>
      <c r="S314" s="9" t="s">
        <v>91</v>
      </c>
      <c r="T314" s="12" t="n">
        <v>46324</v>
      </c>
      <c r="U314" s="10" t="s">
        <v>2053</v>
      </c>
    </row>
    <row r="315" customFormat="false" ht="23.85" hidden="false" customHeight="false" outlineLevel="0" collapsed="false">
      <c r="A315" s="9" t="s">
        <v>2054</v>
      </c>
      <c r="B315" s="10" t="s">
        <v>625</v>
      </c>
      <c r="C315" s="9" t="s">
        <v>2041</v>
      </c>
      <c r="D315" s="9" t="s">
        <v>2042</v>
      </c>
      <c r="E315" s="9" t="s">
        <v>2043</v>
      </c>
      <c r="F315" s="9" t="s">
        <v>1067</v>
      </c>
      <c r="G315" s="10" t="s">
        <v>2055</v>
      </c>
      <c r="H315" s="11" t="s">
        <v>2056</v>
      </c>
      <c r="I315" s="10" t="s">
        <v>625</v>
      </c>
      <c r="J315" s="9" t="s">
        <v>430</v>
      </c>
      <c r="K315" s="9" t="s">
        <v>458</v>
      </c>
      <c r="L315" s="10" t="s">
        <v>607</v>
      </c>
      <c r="M315" s="9" t="s">
        <v>88</v>
      </c>
      <c r="N315" s="9"/>
      <c r="O315" s="9"/>
      <c r="P315" s="9"/>
      <c r="Q315" s="9" t="s">
        <v>327</v>
      </c>
      <c r="R315" s="9" t="s">
        <v>90</v>
      </c>
      <c r="S315" s="9" t="s">
        <v>91</v>
      </c>
      <c r="T315" s="12" t="n">
        <v>46324</v>
      </c>
      <c r="U315" s="10" t="s">
        <v>2057</v>
      </c>
    </row>
    <row r="316" customFormat="false" ht="23.85" hidden="false" customHeight="false" outlineLevel="0" collapsed="false">
      <c r="A316" s="9" t="s">
        <v>2058</v>
      </c>
      <c r="B316" s="10" t="s">
        <v>740</v>
      </c>
      <c r="C316" s="9" t="s">
        <v>2041</v>
      </c>
      <c r="D316" s="9" t="s">
        <v>2042</v>
      </c>
      <c r="E316" s="9" t="s">
        <v>2043</v>
      </c>
      <c r="F316" s="9" t="s">
        <v>103</v>
      </c>
      <c r="G316" s="10" t="s">
        <v>2059</v>
      </c>
      <c r="H316" s="11" t="s">
        <v>2060</v>
      </c>
      <c r="I316" s="10" t="s">
        <v>740</v>
      </c>
      <c r="J316" s="9" t="s">
        <v>430</v>
      </c>
      <c r="K316" s="9" t="s">
        <v>458</v>
      </c>
      <c r="L316" s="10" t="s">
        <v>607</v>
      </c>
      <c r="M316" s="9" t="s">
        <v>88</v>
      </c>
      <c r="N316" s="9"/>
      <c r="O316" s="9"/>
      <c r="P316" s="9"/>
      <c r="Q316" s="9" t="s">
        <v>327</v>
      </c>
      <c r="R316" s="9" t="s">
        <v>90</v>
      </c>
      <c r="S316" s="9" t="s">
        <v>91</v>
      </c>
      <c r="T316" s="12" t="n">
        <v>46324</v>
      </c>
      <c r="U316" s="10" t="s">
        <v>2061</v>
      </c>
    </row>
    <row r="317" customFormat="false" ht="35.05" hidden="false" customHeight="false" outlineLevel="0" collapsed="false">
      <c r="A317" s="9" t="s">
        <v>2062</v>
      </c>
      <c r="B317" s="10" t="s">
        <v>1139</v>
      </c>
      <c r="C317" s="9" t="s">
        <v>2041</v>
      </c>
      <c r="D317" s="9" t="s">
        <v>2042</v>
      </c>
      <c r="E317" s="9" t="s">
        <v>2050</v>
      </c>
      <c r="F317" s="9" t="s">
        <v>103</v>
      </c>
      <c r="G317" s="10" t="s">
        <v>2063</v>
      </c>
      <c r="H317" s="11" t="s">
        <v>2064</v>
      </c>
      <c r="I317" s="10" t="s">
        <v>1139</v>
      </c>
      <c r="J317" s="9" t="s">
        <v>430</v>
      </c>
      <c r="K317" s="9" t="s">
        <v>458</v>
      </c>
      <c r="L317" s="10" t="s">
        <v>607</v>
      </c>
      <c r="M317" s="9" t="s">
        <v>88</v>
      </c>
      <c r="N317" s="9"/>
      <c r="O317" s="9"/>
      <c r="P317" s="9"/>
      <c r="Q317" s="9" t="s">
        <v>327</v>
      </c>
      <c r="R317" s="9" t="s">
        <v>90</v>
      </c>
      <c r="S317" s="9" t="s">
        <v>91</v>
      </c>
      <c r="T317" s="12" t="n">
        <v>46324</v>
      </c>
      <c r="U317" s="10" t="s">
        <v>2065</v>
      </c>
    </row>
    <row r="318" customFormat="false" ht="35.05" hidden="false" customHeight="false" outlineLevel="0" collapsed="false">
      <c r="A318" s="9" t="s">
        <v>2066</v>
      </c>
      <c r="B318" s="10" t="s">
        <v>580</v>
      </c>
      <c r="C318" s="9" t="s">
        <v>2041</v>
      </c>
      <c r="D318" s="9" t="s">
        <v>2042</v>
      </c>
      <c r="E318" s="9" t="s">
        <v>2050</v>
      </c>
      <c r="F318" s="9" t="s">
        <v>103</v>
      </c>
      <c r="G318" s="10" t="s">
        <v>2067</v>
      </c>
      <c r="H318" s="11" t="s">
        <v>2068</v>
      </c>
      <c r="I318" s="10" t="s">
        <v>580</v>
      </c>
      <c r="J318" s="9" t="s">
        <v>430</v>
      </c>
      <c r="K318" s="9" t="s">
        <v>458</v>
      </c>
      <c r="L318" s="10" t="s">
        <v>607</v>
      </c>
      <c r="M318" s="9" t="s">
        <v>88</v>
      </c>
      <c r="N318" s="9"/>
      <c r="O318" s="9"/>
      <c r="P318" s="9"/>
      <c r="Q318" s="9" t="s">
        <v>327</v>
      </c>
      <c r="R318" s="9" t="s">
        <v>90</v>
      </c>
      <c r="S318" s="9" t="s">
        <v>91</v>
      </c>
      <c r="T318" s="12" t="n">
        <v>46324</v>
      </c>
      <c r="U318" s="10" t="s">
        <v>2069</v>
      </c>
    </row>
    <row r="319" customFormat="false" ht="23.85" hidden="false" customHeight="false" outlineLevel="0" collapsed="false">
      <c r="A319" s="9" t="s">
        <v>2070</v>
      </c>
      <c r="B319" s="10" t="s">
        <v>2071</v>
      </c>
      <c r="C319" s="9" t="s">
        <v>2041</v>
      </c>
      <c r="D319" s="9" t="s">
        <v>2042</v>
      </c>
      <c r="E319" s="9" t="s">
        <v>2072</v>
      </c>
      <c r="F319" s="9" t="s">
        <v>259</v>
      </c>
      <c r="G319" s="10" t="s">
        <v>2073</v>
      </c>
      <c r="H319" s="11" t="s">
        <v>2074</v>
      </c>
      <c r="I319" s="10" t="s">
        <v>2071</v>
      </c>
      <c r="J319" s="9" t="s">
        <v>430</v>
      </c>
      <c r="K319" s="9" t="s">
        <v>458</v>
      </c>
      <c r="L319" s="10" t="s">
        <v>87</v>
      </c>
      <c r="M319" s="9" t="s">
        <v>88</v>
      </c>
      <c r="N319" s="9"/>
      <c r="O319" s="9"/>
      <c r="P319" s="9"/>
      <c r="Q319" s="9" t="s">
        <v>327</v>
      </c>
      <c r="R319" s="9" t="s">
        <v>90</v>
      </c>
      <c r="S319" s="9" t="s">
        <v>91</v>
      </c>
      <c r="T319" s="12" t="n">
        <v>46324</v>
      </c>
      <c r="U319" s="10" t="s">
        <v>2075</v>
      </c>
    </row>
    <row r="320" customFormat="false" ht="23.85" hidden="false" customHeight="false" outlineLevel="0" collapsed="false">
      <c r="A320" s="9" t="s">
        <v>2076</v>
      </c>
      <c r="B320" s="10" t="s">
        <v>2077</v>
      </c>
      <c r="C320" s="9" t="s">
        <v>2041</v>
      </c>
      <c r="D320" s="9" t="s">
        <v>2042</v>
      </c>
      <c r="E320" s="9" t="s">
        <v>2078</v>
      </c>
      <c r="F320" s="9" t="s">
        <v>1029</v>
      </c>
      <c r="G320" s="10" t="s">
        <v>2079</v>
      </c>
      <c r="H320" s="11" t="s">
        <v>2080</v>
      </c>
      <c r="I320" s="10" t="s">
        <v>2081</v>
      </c>
      <c r="J320" s="9" t="s">
        <v>148</v>
      </c>
      <c r="K320" s="9" t="s">
        <v>458</v>
      </c>
      <c r="L320" s="10" t="s">
        <v>87</v>
      </c>
      <c r="M320" s="9" t="s">
        <v>88</v>
      </c>
      <c r="N320" s="9"/>
      <c r="O320" s="9"/>
      <c r="P320" s="9"/>
      <c r="Q320" s="9" t="s">
        <v>327</v>
      </c>
      <c r="R320" s="9" t="s">
        <v>90</v>
      </c>
      <c r="S320" s="9" t="s">
        <v>91</v>
      </c>
      <c r="T320" s="12" t="n">
        <v>46324</v>
      </c>
      <c r="U320" s="10" t="s">
        <v>2082</v>
      </c>
    </row>
    <row r="321" customFormat="false" ht="23.85" hidden="false" customHeight="false" outlineLevel="0" collapsed="false">
      <c r="A321" s="9" t="s">
        <v>2083</v>
      </c>
      <c r="B321" s="10" t="s">
        <v>2084</v>
      </c>
      <c r="C321" s="9" t="s">
        <v>2041</v>
      </c>
      <c r="D321" s="9" t="s">
        <v>2042</v>
      </c>
      <c r="E321" s="9" t="s">
        <v>2078</v>
      </c>
      <c r="F321" s="9" t="s">
        <v>259</v>
      </c>
      <c r="G321" s="10" t="s">
        <v>2085</v>
      </c>
      <c r="H321" s="11" t="s">
        <v>2086</v>
      </c>
      <c r="I321" s="10" t="s">
        <v>2087</v>
      </c>
      <c r="J321" s="9" t="s">
        <v>148</v>
      </c>
      <c r="K321" s="9" t="s">
        <v>458</v>
      </c>
      <c r="L321" s="10" t="s">
        <v>87</v>
      </c>
      <c r="M321" s="9" t="s">
        <v>88</v>
      </c>
      <c r="N321" s="9"/>
      <c r="O321" s="9"/>
      <c r="P321" s="9"/>
      <c r="Q321" s="9" t="s">
        <v>327</v>
      </c>
      <c r="R321" s="9" t="s">
        <v>90</v>
      </c>
      <c r="S321" s="9" t="s">
        <v>91</v>
      </c>
      <c r="T321" s="12" t="n">
        <v>46324</v>
      </c>
      <c r="U321" s="10" t="s">
        <v>2088</v>
      </c>
    </row>
    <row r="322" customFormat="false" ht="23.85" hidden="false" customHeight="false" outlineLevel="0" collapsed="false">
      <c r="A322" s="9" t="s">
        <v>2089</v>
      </c>
      <c r="B322" s="10" t="s">
        <v>2090</v>
      </c>
      <c r="C322" s="9" t="s">
        <v>2041</v>
      </c>
      <c r="D322" s="9" t="s">
        <v>2042</v>
      </c>
      <c r="E322" s="9" t="s">
        <v>2078</v>
      </c>
      <c r="F322" s="9" t="s">
        <v>1044</v>
      </c>
      <c r="G322" s="10" t="s">
        <v>2091</v>
      </c>
      <c r="H322" s="11" t="s">
        <v>2092</v>
      </c>
      <c r="I322" s="10" t="s">
        <v>2093</v>
      </c>
      <c r="J322" s="9" t="s">
        <v>430</v>
      </c>
      <c r="K322" s="9" t="s">
        <v>458</v>
      </c>
      <c r="L322" s="10" t="s">
        <v>87</v>
      </c>
      <c r="M322" s="9" t="s">
        <v>88</v>
      </c>
      <c r="N322" s="9"/>
      <c r="O322" s="9"/>
      <c r="P322" s="9"/>
      <c r="Q322" s="9" t="s">
        <v>327</v>
      </c>
      <c r="R322" s="9" t="s">
        <v>90</v>
      </c>
      <c r="S322" s="9" t="s">
        <v>91</v>
      </c>
      <c r="T322" s="12" t="n">
        <v>46324</v>
      </c>
      <c r="U322" s="10" t="s">
        <v>2094</v>
      </c>
    </row>
    <row r="323" customFormat="false" ht="23.85" hidden="false" customHeight="false" outlineLevel="0" collapsed="false">
      <c r="A323" s="9" t="s">
        <v>2095</v>
      </c>
      <c r="B323" s="10" t="s">
        <v>2096</v>
      </c>
      <c r="C323" s="9" t="s">
        <v>2041</v>
      </c>
      <c r="D323" s="9" t="s">
        <v>2042</v>
      </c>
      <c r="E323" s="9" t="s">
        <v>2043</v>
      </c>
      <c r="F323" s="9" t="s">
        <v>1426</v>
      </c>
      <c r="G323" s="10" t="s">
        <v>2097</v>
      </c>
      <c r="H323" s="11" t="s">
        <v>2098</v>
      </c>
      <c r="I323" s="10" t="s">
        <v>2099</v>
      </c>
      <c r="J323" s="9" t="s">
        <v>148</v>
      </c>
      <c r="K323" s="9" t="s">
        <v>458</v>
      </c>
      <c r="L323" s="10" t="s">
        <v>785</v>
      </c>
      <c r="M323" s="9" t="s">
        <v>88</v>
      </c>
      <c r="N323" s="9"/>
      <c r="O323" s="9"/>
      <c r="P323" s="9"/>
      <c r="Q323" s="9" t="s">
        <v>327</v>
      </c>
      <c r="R323" s="9" t="s">
        <v>90</v>
      </c>
      <c r="S323" s="9" t="s">
        <v>167</v>
      </c>
      <c r="T323" s="12" t="n">
        <v>46324</v>
      </c>
      <c r="U323" s="10" t="s">
        <v>2100</v>
      </c>
    </row>
    <row r="324" customFormat="false" ht="23.85" hidden="false" customHeight="false" outlineLevel="0" collapsed="false">
      <c r="A324" s="9" t="s">
        <v>2101</v>
      </c>
      <c r="B324" s="10" t="s">
        <v>2102</v>
      </c>
      <c r="C324" s="9" t="s">
        <v>2041</v>
      </c>
      <c r="D324" s="9" t="s">
        <v>2042</v>
      </c>
      <c r="E324" s="9" t="s">
        <v>2050</v>
      </c>
      <c r="F324" s="9" t="s">
        <v>752</v>
      </c>
      <c r="G324" s="10" t="s">
        <v>2103</v>
      </c>
      <c r="H324" s="11" t="s">
        <v>2104</v>
      </c>
      <c r="I324" s="10" t="s">
        <v>2099</v>
      </c>
      <c r="J324" s="9" t="s">
        <v>148</v>
      </c>
      <c r="K324" s="9" t="s">
        <v>458</v>
      </c>
      <c r="L324" s="10" t="s">
        <v>87</v>
      </c>
      <c r="M324" s="9" t="s">
        <v>88</v>
      </c>
      <c r="N324" s="9"/>
      <c r="O324" s="9"/>
      <c r="P324" s="9"/>
      <c r="Q324" s="9" t="s">
        <v>327</v>
      </c>
      <c r="R324" s="9" t="s">
        <v>90</v>
      </c>
      <c r="S324" s="9" t="s">
        <v>91</v>
      </c>
      <c r="T324" s="12" t="n">
        <v>46324</v>
      </c>
      <c r="U324" s="10" t="s">
        <v>2105</v>
      </c>
    </row>
    <row r="325" customFormat="false" ht="23.85" hidden="false" customHeight="false" outlineLevel="0" collapsed="false">
      <c r="A325" s="9" t="s">
        <v>2106</v>
      </c>
      <c r="B325" s="10" t="s">
        <v>2107</v>
      </c>
      <c r="C325" s="9" t="s">
        <v>2041</v>
      </c>
      <c r="D325" s="9" t="s">
        <v>2042</v>
      </c>
      <c r="E325" s="9" t="s">
        <v>1451</v>
      </c>
      <c r="F325" s="9" t="s">
        <v>1482</v>
      </c>
      <c r="G325" s="10" t="s">
        <v>2108</v>
      </c>
      <c r="H325" s="11" t="s">
        <v>2109</v>
      </c>
      <c r="I325" s="10" t="s">
        <v>911</v>
      </c>
      <c r="J325" s="9" t="s">
        <v>148</v>
      </c>
      <c r="K325" s="9" t="s">
        <v>458</v>
      </c>
      <c r="L325" s="10" t="s">
        <v>87</v>
      </c>
      <c r="M325" s="9" t="s">
        <v>88</v>
      </c>
      <c r="N325" s="9"/>
      <c r="O325" s="9"/>
      <c r="P325" s="9"/>
      <c r="Q325" s="9" t="s">
        <v>327</v>
      </c>
      <c r="R325" s="9" t="s">
        <v>90</v>
      </c>
      <c r="S325" s="9" t="s">
        <v>91</v>
      </c>
      <c r="T325" s="12" t="n">
        <v>46324</v>
      </c>
      <c r="U325" s="10" t="s">
        <v>2110</v>
      </c>
    </row>
    <row r="326" customFormat="false" ht="23.85" hidden="false" customHeight="false" outlineLevel="0" collapsed="false">
      <c r="A326" s="9" t="s">
        <v>2111</v>
      </c>
      <c r="B326" s="10" t="s">
        <v>2112</v>
      </c>
      <c r="C326" s="9" t="s">
        <v>2041</v>
      </c>
      <c r="D326" s="9" t="s">
        <v>2042</v>
      </c>
      <c r="E326" s="9" t="s">
        <v>2072</v>
      </c>
      <c r="F326" s="9" t="s">
        <v>95</v>
      </c>
      <c r="G326" s="10" t="s">
        <v>2113</v>
      </c>
      <c r="H326" s="11" t="s">
        <v>2114</v>
      </c>
      <c r="I326" s="10" t="s">
        <v>2112</v>
      </c>
      <c r="J326" s="9" t="s">
        <v>430</v>
      </c>
      <c r="K326" s="9" t="s">
        <v>458</v>
      </c>
      <c r="L326" s="10" t="s">
        <v>87</v>
      </c>
      <c r="M326" s="9" t="s">
        <v>88</v>
      </c>
      <c r="N326" s="9"/>
      <c r="O326" s="9"/>
      <c r="P326" s="9"/>
      <c r="Q326" s="9" t="s">
        <v>327</v>
      </c>
      <c r="R326" s="9" t="s">
        <v>90</v>
      </c>
      <c r="S326" s="9" t="s">
        <v>91</v>
      </c>
      <c r="T326" s="12" t="n">
        <v>46324</v>
      </c>
      <c r="U326" s="10" t="s">
        <v>2115</v>
      </c>
    </row>
    <row r="327" customFormat="false" ht="23.85" hidden="false" customHeight="false" outlineLevel="0" collapsed="false">
      <c r="A327" s="9" t="s">
        <v>2116</v>
      </c>
      <c r="B327" s="10" t="s">
        <v>2117</v>
      </c>
      <c r="C327" s="9" t="s">
        <v>2041</v>
      </c>
      <c r="D327" s="9" t="s">
        <v>2042</v>
      </c>
      <c r="E327" s="9" t="s">
        <v>2050</v>
      </c>
      <c r="F327" s="9" t="s">
        <v>95</v>
      </c>
      <c r="G327" s="10" t="s">
        <v>2118</v>
      </c>
      <c r="H327" s="11" t="s">
        <v>2119</v>
      </c>
      <c r="I327" s="10" t="s">
        <v>2117</v>
      </c>
      <c r="J327" s="9" t="s">
        <v>430</v>
      </c>
      <c r="K327" s="9" t="s">
        <v>458</v>
      </c>
      <c r="L327" s="10" t="s">
        <v>87</v>
      </c>
      <c r="M327" s="9" t="s">
        <v>88</v>
      </c>
      <c r="N327" s="9"/>
      <c r="O327" s="9"/>
      <c r="P327" s="9"/>
      <c r="Q327" s="9" t="s">
        <v>327</v>
      </c>
      <c r="R327" s="9" t="s">
        <v>90</v>
      </c>
      <c r="S327" s="9" t="s">
        <v>91</v>
      </c>
      <c r="T327" s="12" t="n">
        <v>46324</v>
      </c>
      <c r="U327" s="10" t="s">
        <v>2120</v>
      </c>
    </row>
    <row r="328" customFormat="false" ht="35.05" hidden="false" customHeight="false" outlineLevel="0" collapsed="false">
      <c r="A328" s="9" t="s">
        <v>2121</v>
      </c>
      <c r="B328" s="10" t="s">
        <v>2122</v>
      </c>
      <c r="C328" s="9" t="s">
        <v>2041</v>
      </c>
      <c r="D328" s="9" t="s">
        <v>2042</v>
      </c>
      <c r="E328" s="9" t="s">
        <v>2072</v>
      </c>
      <c r="F328" s="9" t="s">
        <v>103</v>
      </c>
      <c r="G328" s="10" t="s">
        <v>2123</v>
      </c>
      <c r="H328" s="11" t="s">
        <v>2124</v>
      </c>
      <c r="I328" s="10" t="s">
        <v>2122</v>
      </c>
      <c r="J328" s="9" t="s">
        <v>148</v>
      </c>
      <c r="K328" s="9" t="s">
        <v>458</v>
      </c>
      <c r="L328" s="10" t="s">
        <v>607</v>
      </c>
      <c r="M328" s="9" t="s">
        <v>88</v>
      </c>
      <c r="N328" s="9"/>
      <c r="O328" s="9"/>
      <c r="P328" s="9"/>
      <c r="Q328" s="9" t="s">
        <v>327</v>
      </c>
      <c r="R328" s="9" t="s">
        <v>90</v>
      </c>
      <c r="S328" s="9" t="s">
        <v>167</v>
      </c>
      <c r="T328" s="12" t="n">
        <v>46324</v>
      </c>
      <c r="U328" s="10" t="s">
        <v>2125</v>
      </c>
    </row>
    <row r="329" customFormat="false" ht="23.85" hidden="false" customHeight="false" outlineLevel="0" collapsed="false">
      <c r="A329" s="9" t="s">
        <v>2126</v>
      </c>
      <c r="B329" s="10" t="s">
        <v>2127</v>
      </c>
      <c r="C329" s="9" t="s">
        <v>2041</v>
      </c>
      <c r="D329" s="9" t="s">
        <v>2042</v>
      </c>
      <c r="E329" s="9" t="s">
        <v>2072</v>
      </c>
      <c r="F329" s="9" t="s">
        <v>152</v>
      </c>
      <c r="G329" s="10" t="s">
        <v>2128</v>
      </c>
      <c r="H329" s="11" t="s">
        <v>2129</v>
      </c>
      <c r="I329" s="10" t="s">
        <v>2130</v>
      </c>
      <c r="J329" s="9" t="s">
        <v>430</v>
      </c>
      <c r="K329" s="9" t="s">
        <v>458</v>
      </c>
      <c r="L329" s="10" t="s">
        <v>87</v>
      </c>
      <c r="M329" s="9" t="s">
        <v>88</v>
      </c>
      <c r="N329" s="9"/>
      <c r="O329" s="9"/>
      <c r="P329" s="9"/>
      <c r="Q329" s="9" t="s">
        <v>327</v>
      </c>
      <c r="R329" s="9" t="s">
        <v>90</v>
      </c>
      <c r="S329" s="9" t="s">
        <v>91</v>
      </c>
      <c r="T329" s="12" t="n">
        <v>46324</v>
      </c>
      <c r="U329" s="10" t="s">
        <v>2131</v>
      </c>
    </row>
    <row r="330" customFormat="false" ht="23.85" hidden="false" customHeight="false" outlineLevel="0" collapsed="false">
      <c r="A330" s="9" t="s">
        <v>2132</v>
      </c>
      <c r="B330" s="10" t="s">
        <v>2133</v>
      </c>
      <c r="C330" s="9" t="s">
        <v>2041</v>
      </c>
      <c r="D330" s="9" t="s">
        <v>2042</v>
      </c>
      <c r="E330" s="9" t="s">
        <v>2078</v>
      </c>
      <c r="F330" s="9" t="s">
        <v>138</v>
      </c>
      <c r="G330" s="10" t="s">
        <v>2134</v>
      </c>
      <c r="H330" s="11" t="s">
        <v>2135</v>
      </c>
      <c r="I330" s="10" t="s">
        <v>2133</v>
      </c>
      <c r="J330" s="9" t="s">
        <v>1104</v>
      </c>
      <c r="K330" s="9" t="s">
        <v>458</v>
      </c>
      <c r="L330" s="10" t="s">
        <v>87</v>
      </c>
      <c r="M330" s="9" t="s">
        <v>88</v>
      </c>
      <c r="N330" s="9"/>
      <c r="O330" s="9"/>
      <c r="P330" s="9"/>
      <c r="Q330" s="9" t="s">
        <v>327</v>
      </c>
      <c r="R330" s="9" t="s">
        <v>90</v>
      </c>
      <c r="S330" s="9" t="s">
        <v>91</v>
      </c>
      <c r="T330" s="12" t="n">
        <v>46324</v>
      </c>
      <c r="U330" s="10" t="s">
        <v>2136</v>
      </c>
    </row>
    <row r="331" customFormat="false" ht="35.05" hidden="false" customHeight="false" outlineLevel="0" collapsed="false">
      <c r="A331" s="9" t="s">
        <v>2137</v>
      </c>
      <c r="B331" s="10" t="s">
        <v>613</v>
      </c>
      <c r="C331" s="9" t="s">
        <v>2041</v>
      </c>
      <c r="D331" s="9" t="s">
        <v>2042</v>
      </c>
      <c r="E331" s="9" t="s">
        <v>2072</v>
      </c>
      <c r="F331" s="9" t="s">
        <v>440</v>
      </c>
      <c r="G331" s="10" t="s">
        <v>2138</v>
      </c>
      <c r="H331" s="11" t="s">
        <v>2139</v>
      </c>
      <c r="I331" s="10" t="s">
        <v>613</v>
      </c>
      <c r="J331" s="9" t="s">
        <v>430</v>
      </c>
      <c r="K331" s="9" t="s">
        <v>458</v>
      </c>
      <c r="L331" s="10" t="s">
        <v>607</v>
      </c>
      <c r="M331" s="9" t="s">
        <v>88</v>
      </c>
      <c r="N331" s="9"/>
      <c r="O331" s="9"/>
      <c r="P331" s="9"/>
      <c r="Q331" s="9" t="s">
        <v>327</v>
      </c>
      <c r="R331" s="9" t="s">
        <v>90</v>
      </c>
      <c r="S331" s="9" t="s">
        <v>91</v>
      </c>
      <c r="T331" s="12" t="n">
        <v>46324</v>
      </c>
      <c r="U331" s="10" t="s">
        <v>2140</v>
      </c>
    </row>
    <row r="332" customFormat="false" ht="35.05" hidden="false" customHeight="false" outlineLevel="0" collapsed="false">
      <c r="A332" s="9" t="s">
        <v>2141</v>
      </c>
      <c r="B332" s="10" t="s">
        <v>821</v>
      </c>
      <c r="C332" s="9" t="s">
        <v>2041</v>
      </c>
      <c r="D332" s="9" t="s">
        <v>2042</v>
      </c>
      <c r="E332" s="9" t="s">
        <v>2043</v>
      </c>
      <c r="F332" s="9" t="s">
        <v>818</v>
      </c>
      <c r="G332" s="10" t="s">
        <v>2142</v>
      </c>
      <c r="H332" s="11" t="s">
        <v>2143</v>
      </c>
      <c r="I332" s="10" t="s">
        <v>2144</v>
      </c>
      <c r="J332" s="9" t="s">
        <v>430</v>
      </c>
      <c r="K332" s="9" t="s">
        <v>458</v>
      </c>
      <c r="L332" s="10" t="s">
        <v>785</v>
      </c>
      <c r="M332" s="9" t="s">
        <v>88</v>
      </c>
      <c r="N332" s="9"/>
      <c r="O332" s="9"/>
      <c r="P332" s="9"/>
      <c r="Q332" s="9" t="s">
        <v>327</v>
      </c>
      <c r="R332" s="9" t="s">
        <v>90</v>
      </c>
      <c r="S332" s="9" t="s">
        <v>91</v>
      </c>
      <c r="T332" s="12" t="n">
        <v>46324</v>
      </c>
      <c r="U332" s="10" t="s">
        <v>2145</v>
      </c>
    </row>
    <row r="333" customFormat="false" ht="23.85" hidden="false" customHeight="false" outlineLevel="0" collapsed="false">
      <c r="A333" s="9" t="s">
        <v>2146</v>
      </c>
      <c r="B333" s="10" t="s">
        <v>2147</v>
      </c>
      <c r="C333" s="9" t="s">
        <v>2041</v>
      </c>
      <c r="D333" s="9" t="s">
        <v>2042</v>
      </c>
      <c r="E333" s="9" t="s">
        <v>2050</v>
      </c>
      <c r="F333" s="9" t="s">
        <v>818</v>
      </c>
      <c r="G333" s="10" t="s">
        <v>2148</v>
      </c>
      <c r="H333" s="11" t="s">
        <v>2149</v>
      </c>
      <c r="I333" s="10" t="s">
        <v>2147</v>
      </c>
      <c r="J333" s="9" t="s">
        <v>430</v>
      </c>
      <c r="K333" s="9" t="s">
        <v>458</v>
      </c>
      <c r="L333" s="10" t="s">
        <v>87</v>
      </c>
      <c r="M333" s="9" t="s">
        <v>88</v>
      </c>
      <c r="N333" s="9"/>
      <c r="O333" s="9"/>
      <c r="P333" s="9"/>
      <c r="Q333" s="9" t="s">
        <v>327</v>
      </c>
      <c r="R333" s="9" t="s">
        <v>90</v>
      </c>
      <c r="S333" s="9" t="s">
        <v>167</v>
      </c>
      <c r="T333" s="12" t="n">
        <v>46324</v>
      </c>
      <c r="U333" s="10"/>
    </row>
    <row r="334" customFormat="false" ht="23.85" hidden="false" customHeight="false" outlineLevel="0" collapsed="false">
      <c r="A334" s="9" t="s">
        <v>2150</v>
      </c>
      <c r="B334" s="10" t="s">
        <v>2151</v>
      </c>
      <c r="C334" s="9" t="s">
        <v>2152</v>
      </c>
      <c r="D334" s="9" t="s">
        <v>2153</v>
      </c>
      <c r="E334" s="9" t="s">
        <v>2154</v>
      </c>
      <c r="F334" s="9" t="s">
        <v>103</v>
      </c>
      <c r="G334" s="10" t="s">
        <v>2155</v>
      </c>
      <c r="H334" s="11" t="s">
        <v>2156</v>
      </c>
      <c r="I334" s="10" t="s">
        <v>2151</v>
      </c>
      <c r="J334" s="9" t="s">
        <v>148</v>
      </c>
      <c r="K334" s="9" t="s">
        <v>458</v>
      </c>
      <c r="L334" s="10" t="s">
        <v>87</v>
      </c>
      <c r="M334" s="9" t="s">
        <v>88</v>
      </c>
      <c r="N334" s="9"/>
      <c r="O334" s="9"/>
      <c r="P334" s="9"/>
      <c r="Q334" s="9" t="s">
        <v>327</v>
      </c>
      <c r="R334" s="9" t="s">
        <v>833</v>
      </c>
      <c r="S334" s="9" t="s">
        <v>167</v>
      </c>
      <c r="T334" s="12" t="n">
        <v>46324</v>
      </c>
      <c r="U334" s="10" t="s">
        <v>2157</v>
      </c>
    </row>
    <row r="335" customFormat="false" ht="23.85" hidden="false" customHeight="false" outlineLevel="0" collapsed="false">
      <c r="A335" s="9" t="s">
        <v>2158</v>
      </c>
      <c r="B335" s="10" t="s">
        <v>2159</v>
      </c>
      <c r="C335" s="9" t="s">
        <v>2152</v>
      </c>
      <c r="D335" s="9" t="s">
        <v>2153</v>
      </c>
      <c r="E335" s="9" t="s">
        <v>2154</v>
      </c>
      <c r="F335" s="9" t="s">
        <v>103</v>
      </c>
      <c r="G335" s="10" t="s">
        <v>2160</v>
      </c>
      <c r="H335" s="11" t="s">
        <v>2161</v>
      </c>
      <c r="I335" s="10" t="s">
        <v>2159</v>
      </c>
      <c r="J335" s="9" t="s">
        <v>148</v>
      </c>
      <c r="K335" s="9" t="s">
        <v>458</v>
      </c>
      <c r="L335" s="10" t="s">
        <v>87</v>
      </c>
      <c r="M335" s="9" t="s">
        <v>88</v>
      </c>
      <c r="N335" s="9"/>
      <c r="O335" s="9"/>
      <c r="P335" s="9"/>
      <c r="Q335" s="9" t="s">
        <v>327</v>
      </c>
      <c r="R335" s="9" t="s">
        <v>833</v>
      </c>
      <c r="S335" s="9" t="s">
        <v>167</v>
      </c>
      <c r="T335" s="12" t="n">
        <v>46324</v>
      </c>
      <c r="U335" s="10" t="s">
        <v>2162</v>
      </c>
    </row>
    <row r="336" customFormat="false" ht="23.85" hidden="false" customHeight="false" outlineLevel="0" collapsed="false">
      <c r="A336" s="9" t="s">
        <v>2163</v>
      </c>
      <c r="B336" s="10" t="s">
        <v>2164</v>
      </c>
      <c r="C336" s="9" t="s">
        <v>2152</v>
      </c>
      <c r="D336" s="9" t="s">
        <v>2153</v>
      </c>
      <c r="E336" s="9" t="s">
        <v>2154</v>
      </c>
      <c r="F336" s="9" t="s">
        <v>103</v>
      </c>
      <c r="G336" s="10" t="s">
        <v>2165</v>
      </c>
      <c r="H336" s="11" t="s">
        <v>2166</v>
      </c>
      <c r="I336" s="10" t="s">
        <v>2164</v>
      </c>
      <c r="J336" s="9" t="s">
        <v>148</v>
      </c>
      <c r="K336" s="9" t="s">
        <v>458</v>
      </c>
      <c r="L336" s="10" t="s">
        <v>87</v>
      </c>
      <c r="M336" s="9" t="s">
        <v>88</v>
      </c>
      <c r="N336" s="9"/>
      <c r="O336" s="9"/>
      <c r="P336" s="9"/>
      <c r="Q336" s="9" t="s">
        <v>327</v>
      </c>
      <c r="R336" s="9" t="s">
        <v>833</v>
      </c>
      <c r="S336" s="9" t="s">
        <v>91</v>
      </c>
      <c r="T336" s="12" t="n">
        <v>46324</v>
      </c>
      <c r="U336" s="10" t="s">
        <v>2167</v>
      </c>
    </row>
    <row r="337" customFormat="false" ht="35.05" hidden="false" customHeight="false" outlineLevel="0" collapsed="false">
      <c r="A337" s="9" t="s">
        <v>2168</v>
      </c>
      <c r="B337" s="10" t="s">
        <v>2169</v>
      </c>
      <c r="C337" s="9" t="s">
        <v>2152</v>
      </c>
      <c r="D337" s="9" t="s">
        <v>2153</v>
      </c>
      <c r="E337" s="9" t="s">
        <v>2154</v>
      </c>
      <c r="F337" s="9" t="s">
        <v>103</v>
      </c>
      <c r="G337" s="10" t="s">
        <v>2170</v>
      </c>
      <c r="H337" s="11" t="s">
        <v>2171</v>
      </c>
      <c r="I337" s="10" t="s">
        <v>2172</v>
      </c>
      <c r="J337" s="9" t="s">
        <v>430</v>
      </c>
      <c r="K337" s="9" t="s">
        <v>458</v>
      </c>
      <c r="L337" s="10" t="s">
        <v>87</v>
      </c>
      <c r="M337" s="9" t="s">
        <v>88</v>
      </c>
      <c r="N337" s="9"/>
      <c r="O337" s="9"/>
      <c r="P337" s="9"/>
      <c r="Q337" s="9" t="s">
        <v>327</v>
      </c>
      <c r="R337" s="9" t="s">
        <v>833</v>
      </c>
      <c r="S337" s="9" t="s">
        <v>91</v>
      </c>
      <c r="T337" s="12" t="n">
        <v>46324</v>
      </c>
      <c r="U337" s="10" t="s">
        <v>2173</v>
      </c>
    </row>
    <row r="338" customFormat="false" ht="23.85" hidden="false" customHeight="false" outlineLevel="0" collapsed="false">
      <c r="A338" s="9" t="s">
        <v>2174</v>
      </c>
      <c r="B338" s="10" t="s">
        <v>2175</v>
      </c>
      <c r="C338" s="9" t="s">
        <v>2152</v>
      </c>
      <c r="D338" s="9" t="s">
        <v>2153</v>
      </c>
      <c r="E338" s="9" t="s">
        <v>2154</v>
      </c>
      <c r="F338" s="9" t="s">
        <v>103</v>
      </c>
      <c r="G338" s="10" t="s">
        <v>2176</v>
      </c>
      <c r="H338" s="11" t="s">
        <v>2177</v>
      </c>
      <c r="I338" s="10" t="s">
        <v>895</v>
      </c>
      <c r="J338" s="9" t="s">
        <v>430</v>
      </c>
      <c r="K338" s="9" t="s">
        <v>458</v>
      </c>
      <c r="L338" s="10" t="s">
        <v>87</v>
      </c>
      <c r="M338" s="9" t="s">
        <v>88</v>
      </c>
      <c r="N338" s="9"/>
      <c r="O338" s="9"/>
      <c r="P338" s="9"/>
      <c r="Q338" s="9" t="s">
        <v>327</v>
      </c>
      <c r="R338" s="9" t="s">
        <v>833</v>
      </c>
      <c r="S338" s="9" t="s">
        <v>91</v>
      </c>
      <c r="T338" s="12" t="n">
        <v>46324</v>
      </c>
      <c r="U338" s="10" t="s">
        <v>2178</v>
      </c>
    </row>
    <row r="339" customFormat="false" ht="35.05" hidden="false" customHeight="false" outlineLevel="0" collapsed="false">
      <c r="A339" s="9" t="s">
        <v>2179</v>
      </c>
      <c r="B339" s="10" t="s">
        <v>2180</v>
      </c>
      <c r="C339" s="9" t="s">
        <v>2152</v>
      </c>
      <c r="D339" s="9" t="s">
        <v>2153</v>
      </c>
      <c r="E339" s="9" t="s">
        <v>2154</v>
      </c>
      <c r="F339" s="9" t="s">
        <v>103</v>
      </c>
      <c r="G339" s="10" t="s">
        <v>2181</v>
      </c>
      <c r="H339" s="11" t="s">
        <v>2182</v>
      </c>
      <c r="I339" s="10" t="s">
        <v>1139</v>
      </c>
      <c r="J339" s="9" t="s">
        <v>430</v>
      </c>
      <c r="K339" s="9" t="s">
        <v>458</v>
      </c>
      <c r="L339" s="10" t="s">
        <v>785</v>
      </c>
      <c r="M339" s="9" t="s">
        <v>88</v>
      </c>
      <c r="N339" s="9"/>
      <c r="O339" s="9"/>
      <c r="P339" s="9"/>
      <c r="Q339" s="9" t="s">
        <v>327</v>
      </c>
      <c r="R339" s="9" t="s">
        <v>833</v>
      </c>
      <c r="S339" s="9" t="s">
        <v>91</v>
      </c>
      <c r="T339" s="12" t="n">
        <v>46324</v>
      </c>
      <c r="U339" s="10" t="s">
        <v>2183</v>
      </c>
    </row>
    <row r="340" customFormat="false" ht="23.85" hidden="false" customHeight="false" outlineLevel="0" collapsed="false">
      <c r="A340" s="9" t="s">
        <v>2184</v>
      </c>
      <c r="B340" s="10" t="s">
        <v>2185</v>
      </c>
      <c r="C340" s="9" t="s">
        <v>2152</v>
      </c>
      <c r="D340" s="9" t="s">
        <v>2153</v>
      </c>
      <c r="E340" s="9" t="s">
        <v>2186</v>
      </c>
      <c r="F340" s="9" t="s">
        <v>103</v>
      </c>
      <c r="G340" s="10" t="s">
        <v>2187</v>
      </c>
      <c r="H340" s="11" t="s">
        <v>2188</v>
      </c>
      <c r="I340" s="10" t="s">
        <v>2189</v>
      </c>
      <c r="J340" s="9" t="s">
        <v>148</v>
      </c>
      <c r="K340" s="9" t="s">
        <v>458</v>
      </c>
      <c r="L340" s="10" t="s">
        <v>87</v>
      </c>
      <c r="M340" s="9" t="s">
        <v>88</v>
      </c>
      <c r="N340" s="9"/>
      <c r="O340" s="9"/>
      <c r="P340" s="9"/>
      <c r="Q340" s="9" t="s">
        <v>327</v>
      </c>
      <c r="R340" s="9" t="s">
        <v>833</v>
      </c>
      <c r="S340" s="9" t="s">
        <v>91</v>
      </c>
      <c r="T340" s="12" t="n">
        <v>46324</v>
      </c>
      <c r="U340" s="10" t="s">
        <v>2190</v>
      </c>
    </row>
    <row r="341" customFormat="false" ht="23.85" hidden="false" customHeight="false" outlineLevel="0" collapsed="false">
      <c r="A341" s="9" t="s">
        <v>2191</v>
      </c>
      <c r="B341" s="10" t="s">
        <v>2192</v>
      </c>
      <c r="C341" s="9" t="s">
        <v>2152</v>
      </c>
      <c r="D341" s="9" t="s">
        <v>2153</v>
      </c>
      <c r="E341" s="9" t="s">
        <v>2154</v>
      </c>
      <c r="F341" s="9" t="s">
        <v>103</v>
      </c>
      <c r="G341" s="10" t="s">
        <v>2193</v>
      </c>
      <c r="H341" s="11" t="s">
        <v>2194</v>
      </c>
      <c r="I341" s="10" t="s">
        <v>2195</v>
      </c>
      <c r="J341" s="9" t="s">
        <v>148</v>
      </c>
      <c r="K341" s="9" t="s">
        <v>458</v>
      </c>
      <c r="L341" s="10" t="s">
        <v>87</v>
      </c>
      <c r="M341" s="9" t="s">
        <v>88</v>
      </c>
      <c r="N341" s="9"/>
      <c r="O341" s="9"/>
      <c r="P341" s="9"/>
      <c r="Q341" s="9" t="s">
        <v>327</v>
      </c>
      <c r="R341" s="9" t="s">
        <v>833</v>
      </c>
      <c r="S341" s="9" t="s">
        <v>91</v>
      </c>
      <c r="T341" s="12" t="n">
        <v>46324</v>
      </c>
      <c r="U341" s="10" t="s">
        <v>2196</v>
      </c>
    </row>
    <row r="342" customFormat="false" ht="23.85" hidden="false" customHeight="false" outlineLevel="0" collapsed="false">
      <c r="A342" s="9" t="s">
        <v>2197</v>
      </c>
      <c r="B342" s="10" t="s">
        <v>2198</v>
      </c>
      <c r="C342" s="9" t="s">
        <v>2152</v>
      </c>
      <c r="D342" s="9" t="s">
        <v>2153</v>
      </c>
      <c r="E342" s="9" t="s">
        <v>2154</v>
      </c>
      <c r="F342" s="9" t="s">
        <v>103</v>
      </c>
      <c r="G342" s="10" t="s">
        <v>2199</v>
      </c>
      <c r="H342" s="11" t="s">
        <v>2200</v>
      </c>
      <c r="I342" s="10" t="s">
        <v>2201</v>
      </c>
      <c r="J342" s="9" t="s">
        <v>134</v>
      </c>
      <c r="K342" s="9" t="s">
        <v>458</v>
      </c>
      <c r="L342" s="10" t="s">
        <v>87</v>
      </c>
      <c r="M342" s="9" t="s">
        <v>88</v>
      </c>
      <c r="N342" s="9"/>
      <c r="O342" s="9"/>
      <c r="P342" s="9"/>
      <c r="Q342" s="9" t="s">
        <v>327</v>
      </c>
      <c r="R342" s="9" t="s">
        <v>833</v>
      </c>
      <c r="S342" s="9" t="s">
        <v>91</v>
      </c>
      <c r="T342" s="12" t="n">
        <v>46324</v>
      </c>
      <c r="U342" s="10" t="s">
        <v>2202</v>
      </c>
    </row>
    <row r="343" customFormat="false" ht="35.05" hidden="false" customHeight="false" outlineLevel="0" collapsed="false">
      <c r="A343" s="9" t="s">
        <v>2203</v>
      </c>
      <c r="B343" s="10" t="s">
        <v>2204</v>
      </c>
      <c r="C343" s="9" t="s">
        <v>2152</v>
      </c>
      <c r="D343" s="9" t="s">
        <v>2153</v>
      </c>
      <c r="E343" s="9" t="s">
        <v>2154</v>
      </c>
      <c r="F343" s="9" t="s">
        <v>103</v>
      </c>
      <c r="G343" s="10" t="s">
        <v>2205</v>
      </c>
      <c r="H343" s="11" t="s">
        <v>2206</v>
      </c>
      <c r="I343" s="10" t="s">
        <v>2207</v>
      </c>
      <c r="J343" s="9" t="s">
        <v>134</v>
      </c>
      <c r="K343" s="9" t="s">
        <v>458</v>
      </c>
      <c r="L343" s="10" t="s">
        <v>87</v>
      </c>
      <c r="M343" s="9" t="s">
        <v>88</v>
      </c>
      <c r="N343" s="9"/>
      <c r="O343" s="9"/>
      <c r="P343" s="9"/>
      <c r="Q343" s="9" t="s">
        <v>327</v>
      </c>
      <c r="R343" s="9" t="s">
        <v>833</v>
      </c>
      <c r="S343" s="9" t="s">
        <v>167</v>
      </c>
      <c r="T343" s="12" t="n">
        <v>46324</v>
      </c>
      <c r="U343" s="10" t="s">
        <v>2208</v>
      </c>
    </row>
    <row r="344" customFormat="false" ht="23.85" hidden="false" customHeight="false" outlineLevel="0" collapsed="false">
      <c r="A344" s="9" t="s">
        <v>2209</v>
      </c>
      <c r="B344" s="10" t="s">
        <v>2210</v>
      </c>
      <c r="C344" s="9" t="s">
        <v>2152</v>
      </c>
      <c r="D344" s="9" t="s">
        <v>2153</v>
      </c>
      <c r="E344" s="9" t="s">
        <v>2211</v>
      </c>
      <c r="F344" s="9" t="s">
        <v>103</v>
      </c>
      <c r="G344" s="10" t="s">
        <v>2212</v>
      </c>
      <c r="H344" s="11" t="s">
        <v>2213</v>
      </c>
      <c r="I344" s="10" t="s">
        <v>2214</v>
      </c>
      <c r="J344" s="9" t="s">
        <v>430</v>
      </c>
      <c r="K344" s="9" t="s">
        <v>458</v>
      </c>
      <c r="L344" s="10" t="s">
        <v>87</v>
      </c>
      <c r="M344" s="9" t="s">
        <v>88</v>
      </c>
      <c r="N344" s="9"/>
      <c r="O344" s="9"/>
      <c r="P344" s="9"/>
      <c r="Q344" s="9" t="s">
        <v>327</v>
      </c>
      <c r="R344" s="9" t="s">
        <v>833</v>
      </c>
      <c r="S344" s="9" t="s">
        <v>91</v>
      </c>
      <c r="T344" s="12" t="n">
        <v>46324</v>
      </c>
      <c r="U344" s="10" t="s">
        <v>2215</v>
      </c>
    </row>
    <row r="345" customFormat="false" ht="23.85" hidden="false" customHeight="false" outlineLevel="0" collapsed="false">
      <c r="A345" s="9" t="s">
        <v>2216</v>
      </c>
      <c r="B345" s="10" t="s">
        <v>2217</v>
      </c>
      <c r="C345" s="9" t="s">
        <v>2152</v>
      </c>
      <c r="D345" s="9" t="s">
        <v>2153</v>
      </c>
      <c r="E345" s="9" t="s">
        <v>2154</v>
      </c>
      <c r="F345" s="9" t="s">
        <v>829</v>
      </c>
      <c r="G345" s="10" t="s">
        <v>2218</v>
      </c>
      <c r="H345" s="11" t="s">
        <v>2219</v>
      </c>
      <c r="I345" s="10" t="s">
        <v>2217</v>
      </c>
      <c r="J345" s="9" t="s">
        <v>148</v>
      </c>
      <c r="K345" s="9" t="s">
        <v>458</v>
      </c>
      <c r="L345" s="10" t="s">
        <v>87</v>
      </c>
      <c r="M345" s="9" t="s">
        <v>88</v>
      </c>
      <c r="N345" s="9"/>
      <c r="O345" s="9"/>
      <c r="P345" s="9"/>
      <c r="Q345" s="9" t="s">
        <v>327</v>
      </c>
      <c r="R345" s="9" t="s">
        <v>833</v>
      </c>
      <c r="S345" s="9" t="s">
        <v>91</v>
      </c>
      <c r="T345" s="12" t="n">
        <v>46324</v>
      </c>
      <c r="U345" s="10" t="s">
        <v>2220</v>
      </c>
    </row>
    <row r="346" customFormat="false" ht="35.05" hidden="false" customHeight="false" outlineLevel="0" collapsed="false">
      <c r="A346" s="9" t="s">
        <v>2221</v>
      </c>
      <c r="B346" s="10" t="s">
        <v>2222</v>
      </c>
      <c r="C346" s="9" t="s">
        <v>2152</v>
      </c>
      <c r="D346" s="9" t="s">
        <v>2153</v>
      </c>
      <c r="E346" s="9" t="s">
        <v>2154</v>
      </c>
      <c r="F346" s="9" t="s">
        <v>103</v>
      </c>
      <c r="G346" s="10" t="s">
        <v>2223</v>
      </c>
      <c r="H346" s="11" t="s">
        <v>2224</v>
      </c>
      <c r="I346" s="10" t="s">
        <v>2225</v>
      </c>
      <c r="J346" s="9" t="s">
        <v>148</v>
      </c>
      <c r="K346" s="9" t="s">
        <v>458</v>
      </c>
      <c r="L346" s="10" t="s">
        <v>87</v>
      </c>
      <c r="M346" s="9" t="s">
        <v>88</v>
      </c>
      <c r="N346" s="9"/>
      <c r="O346" s="9"/>
      <c r="P346" s="9"/>
      <c r="Q346" s="9" t="s">
        <v>327</v>
      </c>
      <c r="R346" s="9" t="s">
        <v>833</v>
      </c>
      <c r="S346" s="9" t="s">
        <v>91</v>
      </c>
      <c r="T346" s="12" t="n">
        <v>46324</v>
      </c>
      <c r="U346" s="10" t="s">
        <v>2226</v>
      </c>
    </row>
    <row r="347" customFormat="false" ht="23.85" hidden="false" customHeight="false" outlineLevel="0" collapsed="false">
      <c r="A347" s="9" t="s">
        <v>2227</v>
      </c>
      <c r="B347" s="10" t="s">
        <v>2228</v>
      </c>
      <c r="C347" s="9" t="s">
        <v>2152</v>
      </c>
      <c r="D347" s="9" t="s">
        <v>2153</v>
      </c>
      <c r="E347" s="9" t="s">
        <v>2154</v>
      </c>
      <c r="F347" s="9" t="s">
        <v>259</v>
      </c>
      <c r="G347" s="10" t="s">
        <v>2229</v>
      </c>
      <c r="H347" s="11" t="s">
        <v>2230</v>
      </c>
      <c r="I347" s="10" t="s">
        <v>649</v>
      </c>
      <c r="J347" s="9" t="s">
        <v>430</v>
      </c>
      <c r="K347" s="9" t="s">
        <v>458</v>
      </c>
      <c r="L347" s="10" t="s">
        <v>87</v>
      </c>
      <c r="M347" s="9" t="s">
        <v>88</v>
      </c>
      <c r="N347" s="9"/>
      <c r="O347" s="9"/>
      <c r="P347" s="9"/>
      <c r="Q347" s="9" t="s">
        <v>327</v>
      </c>
      <c r="R347" s="9" t="s">
        <v>90</v>
      </c>
      <c r="S347" s="9" t="s">
        <v>91</v>
      </c>
      <c r="T347" s="12" t="n">
        <v>46324</v>
      </c>
      <c r="U347" s="10" t="s">
        <v>2231</v>
      </c>
    </row>
    <row r="348" customFormat="false" ht="23.85" hidden="false" customHeight="false" outlineLevel="0" collapsed="false">
      <c r="A348" s="9" t="s">
        <v>2232</v>
      </c>
      <c r="B348" s="10" t="s">
        <v>2233</v>
      </c>
      <c r="C348" s="9" t="s">
        <v>2152</v>
      </c>
      <c r="D348" s="9" t="s">
        <v>2153</v>
      </c>
      <c r="E348" s="9" t="s">
        <v>2154</v>
      </c>
      <c r="F348" s="9" t="s">
        <v>152</v>
      </c>
      <c r="G348" s="10" t="s">
        <v>2234</v>
      </c>
      <c r="H348" s="11" t="s">
        <v>2235</v>
      </c>
      <c r="I348" s="10" t="s">
        <v>625</v>
      </c>
      <c r="J348" s="9" t="s">
        <v>430</v>
      </c>
      <c r="K348" s="9" t="s">
        <v>458</v>
      </c>
      <c r="L348" s="10" t="s">
        <v>87</v>
      </c>
      <c r="M348" s="9" t="s">
        <v>88</v>
      </c>
      <c r="N348" s="9"/>
      <c r="O348" s="9"/>
      <c r="P348" s="9"/>
      <c r="Q348" s="9" t="s">
        <v>327</v>
      </c>
      <c r="R348" s="9" t="s">
        <v>90</v>
      </c>
      <c r="S348" s="9" t="s">
        <v>91</v>
      </c>
      <c r="T348" s="12" t="n">
        <v>46324</v>
      </c>
      <c r="U348" s="10" t="s">
        <v>2236</v>
      </c>
    </row>
    <row r="349" customFormat="false" ht="23.85" hidden="false" customHeight="false" outlineLevel="0" collapsed="false">
      <c r="A349" s="9" t="s">
        <v>2237</v>
      </c>
      <c r="B349" s="10" t="s">
        <v>2238</v>
      </c>
      <c r="C349" s="9" t="s">
        <v>2152</v>
      </c>
      <c r="D349" s="9" t="s">
        <v>2153</v>
      </c>
      <c r="E349" s="9" t="s">
        <v>2154</v>
      </c>
      <c r="F349" s="9" t="s">
        <v>1715</v>
      </c>
      <c r="G349" s="10" t="s">
        <v>2239</v>
      </c>
      <c r="H349" s="11" t="s">
        <v>2240</v>
      </c>
      <c r="I349" s="10" t="s">
        <v>2241</v>
      </c>
      <c r="J349" s="9" t="s">
        <v>148</v>
      </c>
      <c r="K349" s="9" t="s">
        <v>458</v>
      </c>
      <c r="L349" s="10" t="s">
        <v>87</v>
      </c>
      <c r="M349" s="9" t="s">
        <v>88</v>
      </c>
      <c r="N349" s="9"/>
      <c r="O349" s="9"/>
      <c r="P349" s="9"/>
      <c r="Q349" s="9" t="s">
        <v>327</v>
      </c>
      <c r="R349" s="9" t="s">
        <v>90</v>
      </c>
      <c r="S349" s="9" t="s">
        <v>91</v>
      </c>
      <c r="T349" s="12" t="n">
        <v>46324</v>
      </c>
      <c r="U349" s="10" t="s">
        <v>2242</v>
      </c>
    </row>
    <row r="350" customFormat="false" ht="23.85" hidden="false" customHeight="false" outlineLevel="0" collapsed="false">
      <c r="A350" s="9" t="s">
        <v>2243</v>
      </c>
      <c r="B350" s="10" t="s">
        <v>2244</v>
      </c>
      <c r="C350" s="9" t="s">
        <v>2152</v>
      </c>
      <c r="D350" s="9" t="s">
        <v>2153</v>
      </c>
      <c r="E350" s="9" t="s">
        <v>2154</v>
      </c>
      <c r="F350" s="9" t="s">
        <v>103</v>
      </c>
      <c r="G350" s="10" t="s">
        <v>2245</v>
      </c>
      <c r="H350" s="11" t="s">
        <v>2246</v>
      </c>
      <c r="I350" s="10" t="s">
        <v>2247</v>
      </c>
      <c r="J350" s="9" t="s">
        <v>148</v>
      </c>
      <c r="K350" s="9" t="s">
        <v>458</v>
      </c>
      <c r="L350" s="10" t="s">
        <v>87</v>
      </c>
      <c r="M350" s="9" t="s">
        <v>88</v>
      </c>
      <c r="N350" s="9"/>
      <c r="O350" s="9"/>
      <c r="P350" s="9"/>
      <c r="Q350" s="9" t="s">
        <v>327</v>
      </c>
      <c r="R350" s="9" t="s">
        <v>90</v>
      </c>
      <c r="S350" s="9" t="s">
        <v>91</v>
      </c>
      <c r="T350" s="12" t="n">
        <v>46324</v>
      </c>
      <c r="U350" s="10" t="s">
        <v>2248</v>
      </c>
    </row>
    <row r="351" customFormat="false" ht="23.85" hidden="false" customHeight="false" outlineLevel="0" collapsed="false">
      <c r="A351" s="9" t="s">
        <v>2249</v>
      </c>
      <c r="B351" s="10" t="s">
        <v>2250</v>
      </c>
      <c r="C351" s="9" t="s">
        <v>2152</v>
      </c>
      <c r="D351" s="9" t="s">
        <v>2153</v>
      </c>
      <c r="E351" s="9" t="s">
        <v>2154</v>
      </c>
      <c r="F351" s="9" t="s">
        <v>103</v>
      </c>
      <c r="G351" s="10" t="s">
        <v>2251</v>
      </c>
      <c r="H351" s="11" t="s">
        <v>2252</v>
      </c>
      <c r="I351" s="10" t="s">
        <v>2253</v>
      </c>
      <c r="J351" s="9" t="s">
        <v>148</v>
      </c>
      <c r="K351" s="9" t="s">
        <v>458</v>
      </c>
      <c r="L351" s="10" t="s">
        <v>87</v>
      </c>
      <c r="M351" s="9" t="s">
        <v>88</v>
      </c>
      <c r="N351" s="9"/>
      <c r="O351" s="9"/>
      <c r="P351" s="9"/>
      <c r="Q351" s="9" t="s">
        <v>327</v>
      </c>
      <c r="R351" s="9" t="s">
        <v>90</v>
      </c>
      <c r="S351" s="9" t="s">
        <v>91</v>
      </c>
      <c r="T351" s="12" t="n">
        <v>46324</v>
      </c>
      <c r="U351" s="10" t="s">
        <v>2254</v>
      </c>
    </row>
    <row r="352" customFormat="false" ht="23.85" hidden="false" customHeight="false" outlineLevel="0" collapsed="false">
      <c r="A352" s="9" t="s">
        <v>2255</v>
      </c>
      <c r="B352" s="10" t="s">
        <v>2256</v>
      </c>
      <c r="C352" s="9" t="s">
        <v>2152</v>
      </c>
      <c r="D352" s="9" t="s">
        <v>2153</v>
      </c>
      <c r="E352" s="9" t="s">
        <v>2154</v>
      </c>
      <c r="F352" s="9" t="s">
        <v>119</v>
      </c>
      <c r="G352" s="10" t="s">
        <v>2257</v>
      </c>
      <c r="H352" s="11" t="s">
        <v>2258</v>
      </c>
      <c r="I352" s="10" t="s">
        <v>2259</v>
      </c>
      <c r="J352" s="9" t="s">
        <v>148</v>
      </c>
      <c r="K352" s="9" t="s">
        <v>458</v>
      </c>
      <c r="L352" s="10" t="s">
        <v>87</v>
      </c>
      <c r="M352" s="9" t="s">
        <v>88</v>
      </c>
      <c r="N352" s="9"/>
      <c r="O352" s="9"/>
      <c r="P352" s="9"/>
      <c r="Q352" s="9" t="s">
        <v>327</v>
      </c>
      <c r="R352" s="9" t="s">
        <v>90</v>
      </c>
      <c r="S352" s="9" t="s">
        <v>91</v>
      </c>
      <c r="T352" s="12" t="n">
        <v>46324</v>
      </c>
      <c r="U352" s="10" t="s">
        <v>2260</v>
      </c>
    </row>
    <row r="353" customFormat="false" ht="23.85" hidden="false" customHeight="false" outlineLevel="0" collapsed="false">
      <c r="A353" s="9" t="s">
        <v>2261</v>
      </c>
      <c r="B353" s="10" t="s">
        <v>2262</v>
      </c>
      <c r="C353" s="9" t="s">
        <v>2152</v>
      </c>
      <c r="D353" s="9" t="s">
        <v>2153</v>
      </c>
      <c r="E353" s="9" t="s">
        <v>2186</v>
      </c>
      <c r="F353" s="9" t="s">
        <v>259</v>
      </c>
      <c r="G353" s="10" t="s">
        <v>2263</v>
      </c>
      <c r="H353" s="11" t="s">
        <v>2264</v>
      </c>
      <c r="I353" s="10" t="s">
        <v>649</v>
      </c>
      <c r="J353" s="9" t="s">
        <v>430</v>
      </c>
      <c r="K353" s="9" t="s">
        <v>458</v>
      </c>
      <c r="L353" s="10" t="s">
        <v>1323</v>
      </c>
      <c r="M353" s="9" t="s">
        <v>88</v>
      </c>
      <c r="N353" s="9"/>
      <c r="O353" s="9"/>
      <c r="P353" s="9"/>
      <c r="Q353" s="9" t="s">
        <v>327</v>
      </c>
      <c r="R353" s="9" t="s">
        <v>90</v>
      </c>
      <c r="S353" s="9" t="s">
        <v>91</v>
      </c>
      <c r="T353" s="12" t="n">
        <v>46324</v>
      </c>
      <c r="U353" s="10" t="s">
        <v>2265</v>
      </c>
    </row>
    <row r="354" customFormat="false" ht="23.85" hidden="false" customHeight="false" outlineLevel="0" collapsed="false">
      <c r="A354" s="9" t="s">
        <v>2266</v>
      </c>
      <c r="B354" s="10" t="s">
        <v>2267</v>
      </c>
      <c r="C354" s="9" t="s">
        <v>2152</v>
      </c>
      <c r="D354" s="9" t="s">
        <v>2153</v>
      </c>
      <c r="E354" s="9" t="s">
        <v>2186</v>
      </c>
      <c r="F354" s="9" t="s">
        <v>103</v>
      </c>
      <c r="G354" s="10" t="s">
        <v>2268</v>
      </c>
      <c r="H354" s="11" t="s">
        <v>2269</v>
      </c>
      <c r="I354" s="10" t="s">
        <v>2164</v>
      </c>
      <c r="J354" s="9" t="s">
        <v>148</v>
      </c>
      <c r="K354" s="9" t="s">
        <v>458</v>
      </c>
      <c r="L354" s="10" t="s">
        <v>87</v>
      </c>
      <c r="M354" s="9" t="s">
        <v>88</v>
      </c>
      <c r="N354" s="9"/>
      <c r="O354" s="9"/>
      <c r="P354" s="9"/>
      <c r="Q354" s="9" t="s">
        <v>327</v>
      </c>
      <c r="R354" s="9" t="s">
        <v>90</v>
      </c>
      <c r="S354" s="9" t="s">
        <v>91</v>
      </c>
      <c r="T354" s="12" t="n">
        <v>46324</v>
      </c>
      <c r="U354" s="10" t="s">
        <v>2270</v>
      </c>
    </row>
  </sheetData>
  <autoFilter ref="A1:U354"/>
  <conditionalFormatting sqref="S2:S854">
    <cfRule type="expression" priority="2" aboveAverage="0" equalAverage="0" bottom="0" percent="0" rank="0" text="" dxfId="5">
      <formula>$S2="Needs check"</formula>
    </cfRule>
  </conditionalFormatting>
  <conditionalFormatting sqref="A2:U854">
    <cfRule type="expression" priority="3" aboveAverage="0" equalAverage="0" bottom="0" percent="0" rank="0" text="" dxfId="6">
      <formula>AND($O2&lt;&gt;"",$O2&lt;TODAY())</formula>
    </cfRule>
  </conditionalFormatting>
  <dataValidations count="6">
    <dataValidation allowBlank="true" error="Pick a value from the list." errorStyle="stop" errorTitle="Not in list" operator="between" showDropDown="false" showErrorMessage="false" showInputMessage="false" sqref="C2:C854" type="list">
      <formula1>Sections!$C$2:$C$14</formula1>
      <formula2>0</formula2>
    </dataValidation>
    <dataValidation allowBlank="true" error="Pick a value from the list." errorStyle="stop" errorTitle="Not in list" operator="between" showDropDown="false" showErrorMessage="false" showInputMessage="false" sqref="D2:D854" type="list">
      <formula1>Sections!$A$2:$A$14</formula1>
      <formula2>0</formula2>
    </dataValidation>
    <dataValidation allowBlank="true" error="Pick a value from the list." errorStyle="stop" errorTitle="Not in list" operator="between" showDropDown="false" showErrorMessage="false" showInputMessage="false" sqref="K2:K854" type="list">
      <formula1>"Beginner,Intermediate,Advanced,All"</formula1>
      <formula2>0</formula2>
    </dataValidation>
    <dataValidation allowBlank="true" error="Pick a value from the list." errorStyle="stop" errorTitle="Not in list" operator="between" showDropDown="false" showErrorMessage="false" showInputMessage="false" sqref="Q2:Q854" type="list">
      <formula1>"In force,Partly in force,Enacted - not yet in force,Proposed,Upcoming,Dates TBA,Active,Inactive,Superseded,Draft,Retired"</formula1>
      <formula2>0</formula2>
    </dataValidation>
    <dataValidation allowBlank="true" error="Pick a value from the list." errorStyle="stop" errorTitle="Not in list" operator="between" showDropDown="false" showErrorMessage="false" showInputMessage="false" sqref="R2:R854" type="list">
      <formula1>"Notion import,New"</formula1>
      <formula2>0</formula2>
    </dataValidation>
    <dataValidation allowBlank="true" error="Pick a value from the list." errorStyle="stop" errorTitle="Not in list" operator="between" showDropDown="false" showErrorMessage="false" showInputMessage="false" sqref="S2:S854" type="list">
      <formula1>"Verified,Found in search,Needs check"</formula1>
      <formula2>0</formula2>
    </dataValidation>
  </dataValidations>
  <hyperlinks>
    <hyperlink ref="H2" r:id="rId1" display="https://eur-lex.europa.eu/eli/reg/2016/679/oj/eng"/>
    <hyperlink ref="H3" r:id="rId2" display="https://eur-lex.europa.eu/eli/reg/2024/1689/oj/eng"/>
    <hyperlink ref="H4" r:id="rId3" display="https://eur-lex.europa.eu/eli/dir/2022/2555/oj/eng"/>
    <hyperlink ref="H5" r:id="rId4" display="https://eur-lex.europa.eu/eli/reg/2022/2554/oj/eng"/>
    <hyperlink ref="H6" r:id="rId5" display="https://eur-lex.europa.eu/eli/reg/2024/2847/oj/eng"/>
    <hyperlink ref="H7" r:id="rId6" display="https://eur-lex.europa.eu/eli/reg/2023/2854/oj/eng"/>
    <hyperlink ref="H8" r:id="rId7" display="https://eur-lex.europa.eu/eli/dir/2002/58/oj/eng"/>
    <hyperlink ref="H9" r:id="rId8" display="https://www.legislation.gov.uk/ukpga/2018/12/contents"/>
    <hyperlink ref="H10" r:id="rId9" display="https://www.legislation.gov.uk/ukpga/2025/18/contents"/>
    <hyperlink ref="H11" r:id="rId10" display="https://www.ecfr.gov/current/title-45/subtitle-A/subchapter-C/part-164"/>
    <hyperlink ref="H12" r:id="rId11" display="https://www.ecfr.gov/current/title-16/chapter-I/subchapter-C/part-314"/>
    <hyperlink ref="H13" r:id="rId12" display="https://www.ecfr.gov/current/title-16/chapter-I/subchapter-C/part-312"/>
    <hyperlink ref="H14" r:id="rId13" display="https://www.ecfr.gov/current/title-34/subtitle-A/part-99"/>
    <hyperlink ref="H15" r:id="rId14" display="https://www.sec.gov/rules-regulations/2023/07/s7-09-22"/>
    <hyperlink ref="H16" r:id="rId15" display="https://www.cisa.gov/topics/cyber-threats-and-advisories/information-sharing/cyber-incident-reporting-critical-infrastructure-act-2022-circia"/>
    <hyperlink ref="H17" r:id="rId16" display="https://www.govinfo.gov/link/uscode/15/45"/>
    <hyperlink ref="H18" r:id="rId17" display="https://leginfo.legislature.ca.gov/faces/codes_displayText.xhtml?division=3.&amp;lawCode=CIV&amp;part=4.&amp;title=1.81.5"/>
    <hyperlink ref="H19" r:id="rId18" display="https://cppa.ca.gov/regulations/ccpa_updates.html"/>
    <hyperlink ref="H20" r:id="rId19" display="https://leg.colorado.gov/bills/sb26-189"/>
    <hyperlink ref="H21" r:id="rId20" display="https://capitol.texas.gov/tlodocs/89R/billtext/html/HB00149F.htm"/>
    <hyperlink ref="H22" r:id="rId21" display="https://capitol.texas.gov/tlodocs/88R/billtext/html/HB00004F.htm"/>
    <hyperlink ref="H23" r:id="rId22" display="https://law.lis.virginia.gov/vacodefull/title59.1/chapter53/"/>
    <hyperlink ref="H24" r:id="rId23" display="https://www.ilga.gov/legislation/ilcs/ilcs3.asp?ActID=3004&amp;ChapterID=57"/>
    <hyperlink ref="H25" r:id="rId24" display="https://www.nyc.gov/site/dca/about/automated-employment-decision-tools.page"/>
    <hyperlink ref="H26" r:id="rId25" display="https://www.dfs.ny.gov/cybersecurity"/>
    <hyperlink ref="H27" r:id="rId26" display="https://ndpc.gov.ng/wp-content/uploads/2024/03/Nigeria_Data_Protection_Act_2023.pdf"/>
    <hyperlink ref="H28" r:id="rId27" display="https://ndpc.gov.ng/wp-content/uploads/2025/07/NDP-ACT-GAID-2025-MARCH-20TH.pdf"/>
    <hyperlink ref="H29" r:id="rId28" display="https://www.gov.za/sites/default/files/gcis_document/201409/3706726-11act4of2013protectionofpersonalinforcorrect.pdf"/>
    <hyperlink ref="H30" r:id="rId29" display="https://new.kenyalaw.org/akn/ke/act/2019/24/eng@2022-12-31"/>
    <hyperlink ref="H31" r:id="rId30" display="https://www.planalto.gov.br/ccivil_03/_ato2015-2018/2018/lei/l13709compilado.htm"/>
    <hyperlink ref="H32" r:id="rId31" display="https://www.meity.gov.in/static/uploads/2024/06/2bf1f0e9f04e6fb4f8fef35e82c42aa5.pdf"/>
    <hyperlink ref="H33" r:id="rId32" display="https://laws-lois.justice.gc.ca/eng/acts/P-8.6/"/>
    <hyperlink ref="H34" r:id="rId33" display="https://sso.agc.gov.sg/Act/PDPA2012"/>
    <hyperlink ref="H35" r:id="rId34" display="https://www.ppc.go.jp/en/"/>
    <hyperlink ref="H36" r:id="rId35" display="https://www.coe.int/en-GB/web/conventions/full-list2?module=signatures-by-treaty&amp;treatynum=225"/>
    <hyperlink ref="H37" r:id="rId36" display="https://www.ftc.gov/"/>
    <hyperlink ref="H38" r:id="rId37" display="https://privacy.ca.gov/about-us/about-calprivacy/"/>
    <hyperlink ref="H39" r:id="rId38" display="https://www.hhs.gov/hipaa/index.html"/>
    <hyperlink ref="H40" r:id="rId39" display="https://www.sec.gov/"/>
    <hyperlink ref="H41" r:id="rId40" display="https://www.cisa.gov/about/resources-lawyers"/>
    <hyperlink ref="H42" r:id="rId41" display="https://www.nist.gov/caisi"/>
    <hyperlink ref="H43" r:id="rId42" display="https://www.edpb.europa.eu/"/>
    <hyperlink ref="H44" r:id="rId43" display="https://digital-strategy.ec.europa.eu/en/policies/ai-office"/>
    <hyperlink ref="H45" r:id="rId44" display="https://www.enisa.europa.eu/"/>
    <hyperlink ref="H46" r:id="rId45" display="https://ico.org.uk/"/>
    <hyperlink ref="H47" r:id="rId46" display="https://www.cnil.fr/en"/>
    <hyperlink ref="H48" r:id="rId47" display="https://www.dataprotection.ie/"/>
    <hyperlink ref="H49" r:id="rId48" display="https://ndpc.gov.ng/"/>
    <hyperlink ref="H50" r:id="rId49" display="https://inforegulator.org.za/"/>
    <hyperlink ref="H51" r:id="rId50" display="https://www.odpc.go.ke/"/>
    <hyperlink ref="H52" r:id="rId51" display="https://www.priv.gc.ca/en/"/>
    <hyperlink ref="H53" r:id="rId52" display="https://www.pdpc.gov.sg/"/>
    <hyperlink ref="H54" r:id="rId53" display="https://globalprivacyassembly.com/"/>
    <hyperlink ref="H55" r:id="rId54" display="https://www.texasattorneygeneral.gov/"/>
    <hyperlink ref="H56" r:id="rId55" display="https://www.dfs.ny.gov/"/>
    <hyperlink ref="H57" r:id="rId56" display="https://www.gov.br/anpd/pt-br"/>
    <hyperlink ref="H58" r:id="rId57" display="https://www.nist.gov/cyberframework"/>
    <hyperlink ref="H59" r:id="rId58" display="https://www.nist.gov/privacy-framework"/>
    <hyperlink ref="H60" r:id="rId59" display="https://www.nist.gov/itl/ai-risk-management-framework"/>
    <hyperlink ref="H61" r:id="rId60" display="https://nvlpubs.nist.gov/nistpubs/ai/NIST.AI.600-1.pdf"/>
    <hyperlink ref="H62" r:id="rId61" display="https://csrc.nist.gov/pubs/sp/800/53/r5/upd1/final"/>
    <hyperlink ref="H63" r:id="rId62" display="https://csrc.nist.gov/pubs/sp/800/61/r3/final"/>
    <hyperlink ref="H64" r:id="rId63" display="https://www.iso.org/standard/27001"/>
    <hyperlink ref="H65" r:id="rId64" display="https://www.iso.org/standard/75652.html"/>
    <hyperlink ref="H66" r:id="rId65" display="https://www.iso.org/standard/27701"/>
    <hyperlink ref="H67" r:id="rId66" display="https://www.iso.org/standard/42001"/>
    <hyperlink ref="H68" r:id="rId67" display="https://www.iso.org/standard/77304.html"/>
    <hyperlink ref="H69" r:id="rId68" display="https://www.iso.org/standard/85938.html"/>
    <hyperlink ref="H70" r:id="rId69" display="https://www.iso.org/standard/84977.html"/>
    <hyperlink ref="H71" r:id="rId70" display="https://www.aicpa-cima.com/resources/download/2017-trust-services-criteria-with-revised-points-of-focus-2022"/>
    <hyperlink ref="H72" r:id="rId71" display="https://www.pcisecuritystandards.org/document_library/"/>
    <hyperlink ref="H73" r:id="rId72" display="https://www.cisecurity.org/controls"/>
    <hyperlink ref="H74" r:id="rId73" display="https://attack.mitre.org/"/>
    <hyperlink ref="H75" r:id="rId74" display="https://atlas.mitre.org/"/>
    <hyperlink ref="H76" r:id="rId75" display="https://genai.owasp.org/resource/owasp-genai-llm-top-10-2026/"/>
    <hyperlink ref="H77" r:id="rId76" display="https://genai.owasp.org/resource/owasp-top-10-for-agentic-applications/"/>
    <hyperlink ref="H78" r:id="rId77" display="https://owasp.org/Top10/2025/"/>
    <hyperlink ref="H79" r:id="rId78" display="https://oecd.ai/en/ai-principles"/>
    <hyperlink ref="H80" r:id="rId79" display="https://www.unesco.org/en/artificial-intelligence/recommendation-ethics"/>
    <hyperlink ref="H81" r:id="rId80" display="https://www.fpc.gov/resources/fipps"/>
    <hyperlink ref="H82" r:id="rId81" display="https://hitrustalliance.net/hitrust-framework"/>
    <hyperlink ref="H83" r:id="rId82" display="https://cloudsecurityalliance.org/artifacts/cloud-controls-matrix-v4-1"/>
    <hyperlink ref="H84" r:id="rId83" display="https://cloudsecurityalliance.org/artifacts/ai-controls-matrix-v1-1"/>
    <hyperlink ref="H85" r:id="rId84" display="https://www.isaca.org/resources/cobit"/>
    <hyperlink ref="H86" r:id="rId85" display="https://standards.ieee.org/ieee/7000/6781/"/>
    <hyperlink ref="H87" r:id="rId86" display="https://instituteofprivacydesign.org/standards/"/>
    <hyperlink ref="H88" r:id="rId87" display="https://www.iapp.org/certify/cippus"/>
    <hyperlink ref="H89" r:id="rId88" display="https://www.iapp.org/certify/cippe"/>
    <hyperlink ref="H90" r:id="rId89" display="https://www.iapp.org/certify/cippc"/>
    <hyperlink ref="H91" r:id="rId90" display="https://www.iapp.org/certify/cippa"/>
    <hyperlink ref="H92" r:id="rId91" display="https://www.iapp.org/certify/cipm"/>
    <hyperlink ref="H93" r:id="rId92" display="https://www.iapp.org/certify/cipt"/>
    <hyperlink ref="H94" r:id="rId93" display="https://www.iapp.org/certify/aigp"/>
    <hyperlink ref="H95" r:id="rId94" display="https://iapp.org/certify/fip/"/>
    <hyperlink ref="H96" r:id="rId95" display="https://www.iapp.org/certify/privacy-law-specialist"/>
    <hyperlink ref="H97" r:id="rId96" display="https://www.isaca.org/credentialing/cdpse"/>
    <hyperlink ref="H98" r:id="rId97" display="https://www.isaca.org/credentialing/cisa"/>
    <hyperlink ref="H99" r:id="rId98" display="https://www.isaca.org/credentialing/cism"/>
    <hyperlink ref="H100" r:id="rId99" display="https://www.isaca.org/credentialing/crisc"/>
    <hyperlink ref="H101" r:id="rId100" display="https://www.isaca.org/credentialing/aaia"/>
    <hyperlink ref="H102" r:id="rId101" display="https://www.isaca.org/credentialing/aaism"/>
    <hyperlink ref="H103" r:id="rId102" display="https://www.isaca.org/credentialing/aair"/>
    <hyperlink ref="H104" r:id="rId103" display="https://www.isc2.org/certifications/cc"/>
    <hyperlink ref="H105" r:id="rId104" display="https://www.isc2.org/certifications/cissp"/>
    <hyperlink ref="H106" r:id="rId105" display="https://www.isc2.org/certifications/ccsp"/>
    <hyperlink ref="H107" r:id="rId106" display="https://www.isc2.org/certifications/cgrc"/>
    <hyperlink ref="H108" r:id="rId107" display="https://www.comptia.org/en-us/certifications/security/v7/"/>
    <hyperlink ref="H109" r:id="rId108" display="https://www.comptia.org/en-us/certifications/cybersecurity-analyst/"/>
    <hyperlink ref="H110" r:id="rId109" display="https://www.comptia.org/en-us/certifications/securityx/"/>
    <hyperlink ref="H111" r:id="rId110" display="https://www.sans.org/cyber-security-certifications/security-essentials-gsec"/>
    <hyperlink ref="H112" r:id="rId111" display="https://www.eccouncil.org/train-certify/certified-ethical-hacker-ceh/"/>
    <hyperlink ref="H113" r:id="rId112" display="https://www.offsec.com/courses/pen-200/"/>
    <hyperlink ref="H114" r:id="rId113" display="https://pecb.com/en/education-and-certification-for-individuals/iso-iec-27001/iso-iec-27001-lead-implementer"/>
    <hyperlink ref="H115" r:id="rId114" display="https://pecb.com/en/education-and-certification-for-individuals/iso-iec-27701/iso-iec-27701-lead-implementer"/>
    <hyperlink ref="H116" r:id="rId115" display="https://pecb.com/en/education-and-certification-for-individuals/iso-iec-42001/iso-iec-42001-lead-implementer"/>
    <hyperlink ref="H117" r:id="rId116" display="https://aceds.org/ceds-certifications/"/>
    <hyperlink ref="H118" r:id="rId117" display="https://www.acilearning.com/"/>
    <hyperlink ref="H119" r:id="rId118" display="https://www.cybrary.it/"/>
    <hyperlink ref="H120" r:id="rId119" display="https://www.cisa.gov/topics/cybersecurity-best-practices/cybersecurity-training-exercises"/>
    <hyperlink ref="H121" r:id="rId120" display="https://www.sans.org/"/>
    <hyperlink ref="H122" r:id="rId121" display="https://www.edx.org/"/>
    <hyperlink ref="H123" r:id="rId122" display="https://www.pluralsight.com/"/>
    <hyperlink ref="H124" r:id="rId123" display="https://www.udacity.com/"/>
    <hyperlink ref="H125" r:id="rId124" display="https://www.mcafeeinstitute.edu/"/>
    <hyperlink ref="H126" r:id="rId125" display="https://www.codepath.org/"/>
    <hyperlink ref="H127" r:id="rId126" display="https://www.stationx.net/"/>
    <hyperlink ref="H128" r:id="rId127" display="https://tryhackme.com/"/>
    <hyperlink ref="H129" r:id="rId128" display="https://www.hackthebox.com/"/>
    <hyperlink ref="H130" r:id="rId129" display="https://online.stanford.edu/"/>
    <hyperlink ref="H131" r:id="rId130" display="https://www.harvardonline.harvard.edu/"/>
    <hyperlink ref="H132" r:id="rId131" display="https://iapp.org/train/"/>
    <hyperlink ref="H133" r:id="rId132" display="https://www.iapp.org/train/aigp-training"/>
    <hyperlink ref="H134" r:id="rId133" display="https://www.iapp.org/train/foundations"/>
    <hyperlink ref="H135" r:id="rId134" display="https://www.privacybootcamp.com"/>
    <hyperlink ref="H136" r:id="rId135" display="https://www.infosecinstitute.com/training/iapp/"/>
    <hyperlink ref="H137" r:id="rId136" display="https://www.sans.org/cyber-security-courses/security-essentials-network-endpoint-cloud"/>
    <hyperlink ref="H138" r:id="rId137" display="https://www.sans.org/cyber-security-courses/cybersecurity-risk-management-compliance"/>
    <hyperlink ref="H139" r:id="rId138" display="https://www.sans.org/cyber-security-courses/genai-llm-application-security"/>
    <hyperlink ref="H140" r:id="rId139" display="https://www.sans.org/free-cybersecurity-events"/>
    <hyperlink ref="H141" r:id="rId140" display="https://www.elementsofai.com/"/>
    <hyperlink ref="H142" r:id="rId141" display="https://www.coursera.org/professional-certificates/google-cybersecurity"/>
    <hyperlink ref="H143" r:id="rId142" display="https://www.netacad.com/"/>
    <hyperlink ref="H144" r:id="rId143" display="https://portswigger.net/web-security"/>
    <hyperlink ref="H145" r:id="rId144" display="https://cs50.harvard.edu/cybersecurity/"/>
    <hyperlink ref="H146" r:id="rId145" display="https://www.coursera.org/learn/ai-for-everyone"/>
    <hyperlink ref="H147" r:id="rId146" display="https://owasp.org/projects/juice-shop"/>
    <hyperlink ref="H148" r:id="rId147" display="https://law.scu.edu/law/academics/courses-that-satisfy-certificate-requirements/"/>
    <hyperlink ref="H149" r:id="rId148" display="https://www.sans.org/cyber-security-training-events/ai-summit-fall-2026"/>
    <hyperlink ref="H150" r:id="rId149" display="https://www.privacysecurityacademy.com/psf-fall-conference/"/>
    <hyperlink ref="H151" r:id="rId150" display="https://globalprivacyassembly.com/?p=6624707"/>
    <hyperlink ref="H152" r:id="rId151" display="https://iapp.org/conference/iapp-europe-congress"/>
    <hyperlink ref="H153" r:id="rId152" display="https://www.blackhat.com/upcoming.html"/>
    <hyperlink ref="H154" r:id="rId153" display="https://iapp.org/conference/iapp-anz-summit"/>
    <hyperlink ref="H155" r:id="rId154" display="https://www.isaca.org/training-and-events/conferences/isaca-virtual-conference"/>
    <hyperlink ref="H156" r:id="rId155" display="https://www.blackhat.com/upcoming.html"/>
    <hyperlink ref="H157" r:id="rId156" display="https://www.gartner.com/en/conferences/na/identity-access-management-us"/>
    <hyperlink ref="H158" r:id="rId157" display="https://www.sans.org/cyber-security-training-events/cyber-defense-initiative-2026"/>
    <hyperlink ref="H159" r:id="rId158" display="https://www.thesedonaconference.org/TSCI_2027"/>
    <hyperlink ref="H160" r:id="rId159" display="https://umbonosa.co.za/data-privacy-protection-conference-registration/"/>
    <hyperlink ref="H161" r:id="rId160" display="https://www.sans.org/cyber-security-training-events/cyber-threat-intelligence-summit-2027"/>
    <hyperlink ref="H162" r:id="rId161" display="https://www.event.law.com/legalweek/venue"/>
    <hyperlink ref="H163" r:id="rId162" display="https://techshow.com/conference/"/>
    <hyperlink ref="H164" r:id="rId163" display="https://www.cpdpconferences.org/news/cpdp-2027-anniversary-edition"/>
    <hyperlink ref="H165" r:id="rId164" display="https://www.wicys.org/events/wicys-2027/"/>
    <hyperlink ref="H166" r:id="rId165" display="https://www.iapp.org/conference/iapp-global-summit"/>
    <hyperlink ref="H167" r:id="rId166" display="https://conferences.law.stanford.edu/futurelaw/"/>
    <hyperlink ref="H168" r:id="rId167" display="https://www.iapp.org/conference/iapp-uk-intensive"/>
    <hyperlink ref="H169" r:id="rId168" display="https://www.rsaconference.com/register-your-interest"/>
    <hyperlink ref="H170" r:id="rId169" display="https://www.sans.org/cyber-security-training-events/sans-2027"/>
    <hyperlink ref="H171" r:id="rId170" display="https://privacysymposium.org/"/>
    <hyperlink ref="H172" r:id="rId171" display="https://www.isaca.org/training-and-events/conferences/isaca-north-america-conference"/>
    <hyperlink ref="H173" r:id="rId172" display="https://globalinstitute.cloc.org/"/>
    <hyperlink ref="H174" r:id="rId173" display="https://www.iapp.org/conference/iapp-canada-symposium"/>
    <hyperlink ref="H175" r:id="rId174" display="https://privacyscholars.org"/>
    <hyperlink ref="H176" r:id="rId175" display="https://www.usenix.org/conferences/byname/1046"/>
    <hyperlink ref="H177" r:id="rId176" display="https://www.nist.gov/news-events/events/18th-annual-nice-conference-and-expo"/>
    <hyperlink ref="H178" r:id="rId177" display="https://www.infosecurityeurope.com/"/>
    <hyperlink ref="H179" r:id="rId178" display="https://facctconference.org/2027/cfp.html"/>
    <hyperlink ref="H180" r:id="rId179" display="https://genevaaisummit.swiss/"/>
    <hyperlink ref="H181" r:id="rId180" display="https://defcon.org/"/>
    <hyperlink ref="H182" r:id="rId181" display="https://www.iltacon.org/"/>
    <hyperlink ref="H183" r:id="rId182" display="https://www.usenix.org/sec27"/>
    <hyperlink ref="H184" r:id="rId183" display="https://www.iapp.org/conference/iapp-psr"/>
    <hyperlink ref="H185" r:id="rId184" display="https://www.sans.org/cyber-security-training-events/network-security-2027"/>
    <hyperlink ref="H186" r:id="rId185" display="https://conf.splunk.com/"/>
    <hyperlink ref="H187" r:id="rId186" display="https://www.odpc.go.ke/?p=5134"/>
    <hyperlink ref="H188" r:id="rId187" display="https://scholar.google.com/"/>
    <hyperlink ref="H189" r:id="rId188" display="https://data.europa.eu/en"/>
    <hyperlink ref="H190" r:id="rId189" display="https://digitallibrary.un.org/"/>
    <hyperlink ref="H191" r:id="rId190" display="https://iapp.org/resources/article/us-state-privacy-legislation-tracker"/>
    <hyperlink ref="H192" r:id="rId191" display="https://www.iapp.org/resources/article/global-ai-legislation-tracker"/>
    <hyperlink ref="H193" r:id="rId192" display="https://iapp.org/resources/article/us-state-ai-governance-legislation-tracker"/>
    <hyperlink ref="H194" r:id="rId193" display="https://iapp.org/resources/global-privacy-directory"/>
    <hyperlink ref="H195" r:id="rId194" display="https://www.isaca.org/resources/state-of-cybersecurity"/>
    <hyperlink ref="H196" r:id="rId195" display="https://gdprhub.eu/index.php?title=Welcome_to_GDPRhub"/>
    <hyperlink ref="H197" r:id="rId196" display="https://www.enforcementtracker.com/"/>
    <hyperlink ref="H198" r:id="rId197" display="https://dlapiperdataprotection.com/"/>
    <hyperlink ref="H199" r:id="rId198" display="https://oecd.ai/en/"/>
    <hyperlink ref="H200" r:id="rId199" display="https://hai.stanford.edu/ai-index/2026-ai-index-report"/>
    <hyperlink ref="H201" r:id="rId200" display="https://incidentdatabase.ai/"/>
    <hyperlink ref="H202" r:id="rId201" display="https://www.verizon.com/business/resources/reports/dbir/"/>
    <hyperlink ref="H203" r:id="rId202" display="https://www.ibm.com/reports/data-breach"/>
    <hyperlink ref="H204" r:id="rId203" display="https://www.enisa.europa.eu/publications/enisa-threat-landscape-2026"/>
    <hyperlink ref="H205" r:id="rId204" display="https://www.cisa.gov/news-events/cybersecurity-advisories"/>
    <hyperlink ref="H206" r:id="rId205" display="https://www.ssrn.com/index.cfm/en/"/>
    <hyperlink ref="H207" r:id="rId206" display="https://arxiv.org/list/cs.CR/recent"/>
    <hyperlink ref="H208" r:id="rId207" display="https://www.courtlistener.com/"/>
    <hyperlink ref="H209" r:id="rId208" display="https://eur-lex.europa.eu/"/>
    <hyperlink ref="H210" r:id="rId209" display="https://privacyrights.org/data-breaches"/>
    <hyperlink ref="H211" r:id="rId210" display="https://unctad.org/page/data-protection-and-privacy-legislation-worldwide"/>
    <hyperlink ref="H212" r:id="rId211" display="https://www.cve.org/"/>
    <hyperlink ref="H213" r:id="rId212" display="https://algorithmwatch.org/en/"/>
    <hyperlink ref="H214" r:id="rId213" display="https://cset.georgetown.edu/"/>
    <hyperlink ref="H215" r:id="rId214" display="https://iapp.org/news/subscriptions"/>
    <hyperlink ref="H216" r:id="rId215" display="https://www.lawfaremedia.org/"/>
    <hyperlink ref="H217" r:id="rId216" display="https://www.techpolicy.press/"/>
    <hyperlink ref="H218" r:id="rId217" display="https://therecord.media/"/>
    <hyperlink ref="H219" r:id="rId218" display="https://krebsonsecurity.com/"/>
    <hyperlink ref="H220" r:id="rId219" display="https://www.darkreading.com/"/>
    <hyperlink ref="H221" r:id="rId220" display="https://www.bleepingcomputer.com/"/>
    <hyperlink ref="H222" r:id="rId221" display="https://news.risky.biz/"/>
    <hyperlink ref="H223" r:id="rId222" display="https://cyberscoop.com/"/>
    <hyperlink ref="H224" r:id="rId223" display="https://www.schneier.com/"/>
    <hyperlink ref="H225" r:id="rId224" display="https://importai.substack.com/"/>
    <hyperlink ref="H226" r:id="rId225" display="https://www.transformernews.ai/"/>
    <hyperlink ref="H227" r:id="rId226" display="https://artificialintelligenceact.substack.com/"/>
    <hyperlink ref="H228" r:id="rId227" display="https://www.mlex.com/"/>
    <hyperlink ref="H229" r:id="rId228" display="https://www.euractiv.com/"/>
    <hyperlink ref="H230" r:id="rId229" display="https://privacymatters.dlapiper.com/"/>
    <hyperlink ref="H231" r:id="rId230" display="https://www.hunton.com/privacy-and-cybersecurity-law-blog/"/>
    <hyperlink ref="H232" r:id="rId231" display="https://www.insideprivacy.com/"/>
    <hyperlink ref="H233" r:id="rId232" display="https://noyb.eu/en/news"/>
    <hyperlink ref="H234" r:id="rId233" display="https://techcabal.com/"/>
    <hyperlink ref="H235" r:id="rId234" display="https://techpoint.africa/"/>
    <hyperlink ref="H236" r:id="rId235" display="https://www.platformer.news/"/>
    <hyperlink ref="H237" r:id="rId236" display="https://podcasts.apple.com/us/podcast/the-data-protection-breakfast-club-with-andy-pedro/id1559290322"/>
    <hyperlink ref="H238" r:id="rId237" display="https://www.buzzsprout.com/1614655"/>
    <hyperlink ref="H239" r:id="rId238" display="https://podcasts.apple.com/us/podcast/serious-privacy/id1497388342"/>
    <hyperlink ref="H240" r:id="rId239" display="https://podcasts.apple.com/us/podcast/the-data-diva-talks-privacy-podcast/id1559159451"/>
    <hyperlink ref="H241" r:id="rId240" display="https://podcasts.apple.com/us/podcast/the-privacy-advisor-podcast/id1095382766"/>
    <hyperlink ref="H242" r:id="rId241" display="https://huschblackwell.com/data-privacy-unlocked-state-privacy-podcast"/>
    <hyperlink ref="H243" r:id="rId242" display="https://thecyberwire.com/podcasts/caveat"/>
    <hyperlink ref="H244" r:id="rId243" display="https://privacypleasepodcast.buzzsprout.com/622234"/>
    <hyperlink ref="H245" r:id="rId244" display="https://podcasts.apple.com/us/podcast/risky-business/id216478078"/>
    <hyperlink ref="H246" r:id="rId245" display="https://darknetdiaries.com/"/>
    <hyperlink ref="H247" r:id="rId246" display="https://twit.tv/shows/security-now"/>
    <hyperlink ref="H248" r:id="rId247" display="https://thecyberwire.com/podcasts/daily-podcast"/>
    <hyperlink ref="H249" r:id="rId248" display="https://www.lawfaremedia.org/podcast"/>
    <hyperlink ref="H250" r:id="rId249" display="https://podcasts.apple.com/us/podcast/id1607949880"/>
    <hyperlink ref="H251" r:id="rId250" display="https://podcasts.apple.com/us/podcast/hard-fork/id1528594034"/>
    <hyperlink ref="H252" r:id="rId251" display="https://podcasts.apple.com/ca/podcast/practical-ai/id1406537385"/>
    <hyperlink ref="H253" r:id="rId252" display="https://www.csis.org/podcasts/ai-policy-podcast"/>
    <hyperlink ref="H254" r:id="rId253" display="https://podcasts.apple.com/gb/podcast/your-undivided-attention/id1460030305"/>
    <hyperlink ref="H255" r:id="rId254" display="https://podcasts.apple.com/podcast/id1099711235"/>
    <hyperlink ref="H256" r:id="rId255" display="https://therecord.media/podcast"/>
    <hyperlink ref="H257" r:id="rId256" display="https://www.jstor.org/stable/1321160"/>
    <hyperlink ref="H258" r:id="rId257" display="https://www.hachettebookgroup.com/titles/shoshana-zuboff/the-age-of-surveillance-capitalism/9781610395694/?lens=publicaffairs"/>
    <hyperlink ref="H259" r:id="rId258" display="https://www.sup.org/books/law/privacy-context"/>
    <hyperlink ref="H260" r:id="rId259" display="https://www.hup.harvard.edu/books/9780674035072"/>
    <hyperlink ref="H261" r:id="rId260" display="https://www.hup.harvard.edu/books/9780674976009"/>
    <hyperlink ref="H262" r:id="rId261" display="https://mitpress.mit.edu/9780262529860/obfuscation/"/>
    <hyperlink ref="H263" r:id="rId262" display="https://us.macmillan.com/books/9781250060860/dragnetnation/"/>
    <hyperlink ref="H264" r:id="rId263" display="https://wwnorton.com/books/9780393352177"/>
    <hyperlink ref="H265" r:id="rId264" display="https://aspenpublishing.com/products/solove-privacy8"/>
    <hyperlink ref="H266" r:id="rId265" display="https://link.springer.com/book/10.1007/978-1-4302-6356-2"/>
    <hyperlink ref="H267" r:id="rId266" display="https://mitpress.mit.edu/9780262029988/privacy-on-the-ground/"/>
    <hyperlink ref="H268" r:id="rId267" display="https://benbellabooks.com/shop/cyber-privacy/"/>
    <hyperlink ref="H269" r:id="rId268" display="https://www.penguinrandomhouse.com/books/597684/sandworm-by-andy-greenberg/"/>
    <hyperlink ref="H270" r:id="rId269" display="https://openlibrary.org/works/OL24313631W"/>
    <hyperlink ref="H271" r:id="rId270" display="https://www.penguinrandomhouse.com/books/219931/countdown-to-zero-day-by-kim-zetter/"/>
    <hyperlink ref="H272" r:id="rId271" display="https://www.hup.harvard.edu/books/9780674271029"/>
    <hyperlink ref="H273" r:id="rId272" display="https://www.penguinrandomhouse.com/books/241363/weapons-of-math-destruction-by-cathy-oneil/"/>
    <hyperlink ref="H274" r:id="rId273" display="https://yalebooks.yale.edu/book/9780300264630/atlas-of-ai/"/>
    <hyperlink ref="H275" r:id="rId274" display="https://wwnorton.com/books/9780393635829"/>
    <hyperlink ref="H276" r:id="rId275" display="https://www.penguinrandomhouse.com/books/670356/unmasking-ai-by-dr-joy-buolamwini/"/>
    <hyperlink ref="H277" r:id="rId276" display="https://press.princeton.edu/books/hardcover/9780691249131/ai-snake-oil"/>
    <hyperlink ref="H278" r:id="rId277" display="https://global.oup.com/academic/product/digital-empires-9780197649268"/>
    <hyperlink ref="H279" r:id="rId278" display="https://global.oup.com/academic/product/the-brussels-effect-9780190088583"/>
    <hyperlink ref="H280" r:id="rId279" display="https://www.wiley-vch.de/de/fachgebiete/computer-und-informatik/cybersecurity-law-978-1-394-26589-3"/>
    <hyperlink ref="H281" r:id="rId280" display="https://cornellpress.cornell.edu/book/9781501714412/the-twenty-six-words-that-created-the-internet/"/>
    <hyperlink ref="H282" r:id="rId281" display="https://global.oup.com/academic/product/on-privacy-and-technology-9780197771686"/>
    <hyperlink ref="H283" r:id="rId282" display="https://www.penguin.co.uk/books/442343/privacy-is-power-by-carissa-veliz/9780552177719"/>
    <hyperlink ref="H284" r:id="rId283" display="https://wwnorton.com/books/9780393866667"/>
    <hyperlink ref="H285" r:id="rId284" display="https://global.oup.com/academic/product/breached-9780190940553"/>
    <hyperlink ref="H286" r:id="rId285" display="https://www.codev2.cc/"/>
    <hyperlink ref="H287" r:id="rId286" display="https://www.hup.harvard.edu/books/9780674970847"/>
    <hyperlink ref="H288" r:id="rId287" location="/csf/filters" display="https://csrc.nist.gov/Projects/cybersecurity-framework/Filters#/csf/filters"/>
    <hyperlink ref="H289" r:id="rId288" display="https://www.nist.gov/cyberframework/quick-start-guides"/>
    <hyperlink ref="H290" r:id="rId289" display="https://www.nist.gov/privacy-framework/resource-repository"/>
    <hyperlink ref="H291" r:id="rId290" display="https://airc.nist.gov/airmf-resources/playbook/"/>
    <hyperlink ref="H292" r:id="rId291" display="https://nvd.nist.gov/"/>
    <hyperlink ref="H293" r:id="rId292" display="https://oecd.ai/en/catalogue/overview"/>
    <hyperlink ref="H294" r:id="rId293" display="https://oecd.ai/en/incidents"/>
    <hyperlink ref="H295" r:id="rId294" display="https://mitre-attack.github.io/attack-navigator/"/>
    <hyperlink ref="H296" r:id="rId295" display="https://www.cisecurity.org/cis-benchmarks"/>
    <hyperlink ref="H297" r:id="rId296" display="https://learn.cisecurity.org/cis-cat-lite"/>
    <hyperlink ref="H298" r:id="rId297" display="https://cloudsecurityalliance.org/artifacts/star-level-1-security-questionnaire-caiq-v4/"/>
    <hyperlink ref="H299" r:id="rId298" display="https://cloudsecurityalliance.org/star/registry"/>
    <hyperlink ref="H300" r:id="rId299" display="https://iapp.org/resources"/>
    <hyperlink ref="H301" r:id="rId300" display="https://www.cnil.fr/en/open-source-pia-software-helps-carry-out-data-protection-impact-assessment"/>
    <hyperlink ref="H302" r:id="rId301" display="https://ico.org.uk/for-organisations/uk-gdpr-guidance-and-resources/accountability-and-governance/guide-to-accountability-and-governance/data-protection-impact-assessments/"/>
    <hyperlink ref="H303" r:id="rId302" display="https://ico.org.uk/for-organisations/uk-gdpr-guidance-and-resources/artificial-intelligence/guidance-on-ai-and-data-protection/ai-and-data-protection-risk-toolkit/"/>
    <hyperlink ref="H304" r:id="rId303" display="https://code.europa.eu/edpb/website-auditing-tool"/>
    <hyperlink ref="H305" r:id="rId304" display="https://www.cisa.gov/known-exploited-vulnerabilities-catalog"/>
    <hyperlink ref="H306" r:id="rId305" display="https://github.com/cisagov/cset"/>
    <hyperlink ref="H307" r:id="rId306" display="https://haveibeenpwned.com/"/>
    <hyperlink ref="H308" r:id="rId307" display="https://www.virustotal.com/"/>
    <hyperlink ref="H309" r:id="rId308" display="https://www.zaproxy.org/"/>
    <hyperlink ref="H310" r:id="rId309" display="https://www.shodan.io/"/>
    <hyperlink ref="H311" r:id="rId310" display="https://github.com/microsoft/responsible-ai-toolbox"/>
    <hyperlink ref="H312" r:id="rId311" display="https://aiverifyfoundation.sg/"/>
    <hyperlink ref="H313" r:id="rId312" display="https://iapp.org/"/>
    <hyperlink ref="H314" r:id="rId313" display="https://iapp.org/community/local-chapters"/>
    <hyperlink ref="H315" r:id="rId314" display="https://www.isaca.org/"/>
    <hyperlink ref="H316" r:id="rId315" display="https://www.isc2.org/"/>
    <hyperlink ref="H317" r:id="rId316" display="https://www.wicys.org/"/>
    <hyperlink ref="H318" r:id="rId317" display="https://owasp.org/"/>
    <hyperlink ref="H319" r:id="rId318" display="https://fpf.org/"/>
    <hyperlink ref="H320" r:id="rId319" display="https://www.eff.org/"/>
    <hyperlink ref="H321" r:id="rId320" display="https://epic.org/"/>
    <hyperlink ref="H322" r:id="rId321" display="https://cdt.org/"/>
    <hyperlink ref="H323" r:id="rId322" display="https://www.americanbar.org/groups/science_technology/"/>
    <hyperlink ref="H324" r:id="rId323" display="https://www.americanbar.org/groups/cybersecurity/"/>
    <hyperlink ref="H325" r:id="rId324" display="https://cyber.harvard.edu/"/>
    <hyperlink ref="H326" r:id="rId325" display="https://partnershiponai.org/"/>
    <hyperlink ref="H327" r:id="rId326" display="https://womeninaiethics.org/"/>
    <hyperlink ref="H328" r:id="rId327" display="https://www.blackgirlshack.org/"/>
    <hyperlink ref="H329" r:id="rId328" display="https://www.wisporg.com/"/>
    <hyperlink ref="H330" r:id="rId329" display="https://paradigmhq.org/"/>
    <hyperlink ref="H331" r:id="rId330" display="https://cloudsecurityalliance.org/"/>
    <hyperlink ref="H332" r:id="rId331" display="https://aceds.org/"/>
    <hyperlink ref="H333" r:id="rId332" display="https://legalhackers.org/our-story/"/>
    <hyperlink ref="H334" r:id="rId333" display="https://clearedjobs.net/"/>
    <hyperlink ref="H335" r:id="rId334" display="https://www.crux.so/job-board"/>
    <hyperlink ref="H336" r:id="rId335" display="https://cybersn.com/"/>
    <hyperlink ref="H337" r:id="rId336" display="https://www.usebraintrust.com/job-boards/security"/>
    <hyperlink ref="H338" r:id="rId337" display="https://jobs.hackthebox.com/"/>
    <hyperlink ref="H339" r:id="rId338" display="https://www.wicys.org/initiatives/job-board/"/>
    <hyperlink ref="H340" r:id="rId339" display="https://www.cyberseek.org/"/>
    <hyperlink ref="H341" r:id="rId340" display="https://www.cybersecurityjobs.com/"/>
    <hyperlink ref="H342" r:id="rId341" display="https://www.cybersecurityjobsite.com/"/>
    <hyperlink ref="H343" r:id="rId342" display="https://www.careersincyber.com/"/>
    <hyperlink ref="H344" r:id="rId343" display="https://globalcybersecuritynetwork.com/career-hub/job-platforms/"/>
    <hyperlink ref="H345" r:id="rId344" display="https://www.dice.com/"/>
    <hyperlink ref="H346" r:id="rId345" display="https://jobs.masscybercenter.org/jobs"/>
    <hyperlink ref="H347" r:id="rId346" display="https://iapp.org/community/career-central"/>
    <hyperlink ref="H348" r:id="rId347" display="https://www.isaca.org/career-center"/>
    <hyperlink ref="H349" r:id="rId348" display="https://www.usajobs.gov/"/>
    <hyperlink ref="H350" r:id="rId349" display="https://dhscs.usajobs.gov/"/>
    <hyperlink ref="H351" r:id="rId350" display="https://www.clearancejobs.com/"/>
    <hyperlink ref="H352" r:id="rId351" display="https://www.legal.io/jobs"/>
    <hyperlink ref="H353" r:id="rId352" display="https://www.iapp.org/resources/article/salary-survey-summary"/>
    <hyperlink ref="H354" r:id="rId353" display="https://cybersn.com/resources/reports/cybersecurity-jobs-repor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5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30"/>
    <col collapsed="false" customWidth="true" hidden="false" outlineLevel="0" max="4" min="4" style="0" width="80"/>
    <col collapsed="false" customWidth="true" hidden="false" outlineLevel="0" max="5" min="5" style="0" width="11"/>
    <col collapsed="false" customWidth="true" hidden="false" outlineLevel="0" max="6" min="6" style="0" width="13"/>
    <col collapsed="false" customWidth="true" hidden="false" outlineLevel="0" max="7" min="7" style="0" width="15"/>
  </cols>
  <sheetData>
    <row r="1" customFormat="false" ht="30" hidden="false" customHeight="true" outlineLevel="0" collapsed="false">
      <c r="A1" s="8" t="s">
        <v>74</v>
      </c>
      <c r="B1" s="8" t="s">
        <v>2271</v>
      </c>
      <c r="C1" s="8" t="s">
        <v>2272</v>
      </c>
      <c r="D1" s="8" t="s">
        <v>37</v>
      </c>
      <c r="E1" s="8" t="s">
        <v>3</v>
      </c>
      <c r="F1" s="8" t="s">
        <v>2273</v>
      </c>
      <c r="G1" s="8" t="s">
        <v>2274</v>
      </c>
    </row>
    <row r="2" customFormat="false" ht="15" hidden="false" customHeight="false" outlineLevel="0" collapsed="false">
      <c r="A2" s="9" t="s">
        <v>80</v>
      </c>
      <c r="B2" s="9" t="s">
        <v>2275</v>
      </c>
      <c r="C2" s="9" t="s">
        <v>79</v>
      </c>
      <c r="D2" s="10" t="s">
        <v>2276</v>
      </c>
      <c r="E2" s="9" t="n">
        <f aca="false">COUNTIF(Resources!$D:$D,A2)</f>
        <v>35</v>
      </c>
      <c r="F2" s="9" t="n">
        <f aca="false">COUNTIFS(Resources!$D:$D,A2,Resources!$S:$S,"Needs check")</f>
        <v>0</v>
      </c>
      <c r="G2" s="9" t="n">
        <f aca="false">COUNTIFS(Resources!$D:$D,A2,Resources!$R:$R,"Notion import")</f>
        <v>0</v>
      </c>
    </row>
    <row r="3" customFormat="false" ht="15" hidden="false" customHeight="false" outlineLevel="0" collapsed="false">
      <c r="A3" s="9" t="s">
        <v>323</v>
      </c>
      <c r="B3" s="9" t="s">
        <v>2277</v>
      </c>
      <c r="C3" s="9" t="s">
        <v>322</v>
      </c>
      <c r="D3" s="10" t="s">
        <v>2278</v>
      </c>
      <c r="E3" s="9" t="n">
        <f aca="false">COUNTIF(Resources!$D:$D,A3)</f>
        <v>21</v>
      </c>
      <c r="F3" s="9" t="n">
        <f aca="false">COUNTIFS(Resources!$D:$D,A3,Resources!$S:$S,"Needs check")</f>
        <v>0</v>
      </c>
      <c r="G3" s="9" t="n">
        <f aca="false">COUNTIFS(Resources!$D:$D,A3,Resources!$R:$R,"Notion import")</f>
        <v>0</v>
      </c>
    </row>
    <row r="4" customFormat="false" ht="15" hidden="false" customHeight="false" outlineLevel="0" collapsed="false">
      <c r="A4" s="9" t="s">
        <v>453</v>
      </c>
      <c r="B4" s="9" t="s">
        <v>2279</v>
      </c>
      <c r="C4" s="9" t="s">
        <v>452</v>
      </c>
      <c r="D4" s="10" t="s">
        <v>2280</v>
      </c>
      <c r="E4" s="9" t="n">
        <f aca="false">COUNTIF(Resources!$D:$D,A4)</f>
        <v>30</v>
      </c>
      <c r="F4" s="9" t="n">
        <f aca="false">COUNTIFS(Resources!$D:$D,A4,Resources!$S:$S,"Needs check")</f>
        <v>0</v>
      </c>
      <c r="G4" s="9" t="n">
        <f aca="false">COUNTIFS(Resources!$D:$D,A4,Resources!$R:$R,"Notion import")</f>
        <v>0</v>
      </c>
    </row>
    <row r="5" customFormat="false" ht="15" hidden="false" customHeight="false" outlineLevel="0" collapsed="false">
      <c r="A5" s="9" t="s">
        <v>645</v>
      </c>
      <c r="B5" s="9" t="s">
        <v>2281</v>
      </c>
      <c r="C5" s="9" t="s">
        <v>644</v>
      </c>
      <c r="D5" s="10" t="s">
        <v>2282</v>
      </c>
      <c r="E5" s="9" t="n">
        <f aca="false">COUNTIF(Resources!$D:$D,A5)</f>
        <v>30</v>
      </c>
      <c r="F5" s="9" t="n">
        <f aca="false">COUNTIFS(Resources!$D:$D,A5,Resources!$S:$S,"Needs check")</f>
        <v>0</v>
      </c>
      <c r="G5" s="9" t="n">
        <f aca="false">COUNTIFS(Resources!$D:$D,A5,Resources!$R:$R,"Notion import")</f>
        <v>0</v>
      </c>
    </row>
    <row r="6" customFormat="false" ht="15" hidden="false" customHeight="false" outlineLevel="0" collapsed="false">
      <c r="A6" s="9" t="s">
        <v>827</v>
      </c>
      <c r="B6" s="9" t="s">
        <v>2283</v>
      </c>
      <c r="C6" s="9" t="s">
        <v>826</v>
      </c>
      <c r="D6" s="10" t="s">
        <v>2284</v>
      </c>
      <c r="E6" s="9" t="n">
        <f aca="false">COUNTIF(Resources!$D:$D,A6)</f>
        <v>31</v>
      </c>
      <c r="F6" s="9" t="n">
        <f aca="false">COUNTIFS(Resources!$D:$D,A6,Resources!$S:$S,"Needs check")</f>
        <v>0</v>
      </c>
      <c r="G6" s="9" t="n">
        <f aca="false">COUNTIFS(Resources!$D:$D,A6,Resources!$R:$R,"Notion import")</f>
        <v>14</v>
      </c>
    </row>
    <row r="7" customFormat="false" ht="15" hidden="false" customHeight="false" outlineLevel="0" collapsed="false">
      <c r="A7" s="9" t="s">
        <v>1018</v>
      </c>
      <c r="B7" s="9" t="s">
        <v>2285</v>
      </c>
      <c r="C7" s="9" t="s">
        <v>1017</v>
      </c>
      <c r="D7" s="10" t="s">
        <v>2286</v>
      </c>
      <c r="E7" s="9" t="n">
        <f aca="false">COUNTIF(Resources!$D:$D,A7)</f>
        <v>39</v>
      </c>
      <c r="F7" s="9" t="n">
        <f aca="false">COUNTIFS(Resources!$D:$D,A7,Resources!$S:$S,"Needs check")</f>
        <v>0</v>
      </c>
      <c r="G7" s="9" t="n">
        <f aca="false">COUNTIFS(Resources!$D:$D,A7,Resources!$R:$R,"Notion import")</f>
        <v>4</v>
      </c>
    </row>
    <row r="8" customFormat="false" ht="15" hidden="false" customHeight="false" outlineLevel="0" collapsed="false">
      <c r="A8" s="9" t="s">
        <v>1296</v>
      </c>
      <c r="B8" s="9" t="s">
        <v>2287</v>
      </c>
      <c r="C8" s="9" t="s">
        <v>1295</v>
      </c>
      <c r="D8" s="10" t="s">
        <v>2288</v>
      </c>
      <c r="E8" s="9" t="n">
        <f aca="false">COUNTIF(Resources!$D:$D,A8)</f>
        <v>27</v>
      </c>
      <c r="F8" s="9" t="n">
        <f aca="false">COUNTIFS(Resources!$D:$D,A8,Resources!$S:$S,"Needs check")</f>
        <v>1</v>
      </c>
      <c r="G8" s="9" t="n">
        <f aca="false">COUNTIFS(Resources!$D:$D,A8,Resources!$R:$R,"Notion import")</f>
        <v>3</v>
      </c>
    </row>
    <row r="9" customFormat="false" ht="15" hidden="false" customHeight="false" outlineLevel="0" collapsed="false">
      <c r="A9" s="9" t="s">
        <v>1464</v>
      </c>
      <c r="B9" s="9" t="s">
        <v>2289</v>
      </c>
      <c r="C9" s="9" t="s">
        <v>1463</v>
      </c>
      <c r="D9" s="10" t="s">
        <v>2290</v>
      </c>
      <c r="E9" s="9" t="n">
        <f aca="false">COUNTIF(Resources!$D:$D,A9)</f>
        <v>22</v>
      </c>
      <c r="F9" s="9" t="n">
        <f aca="false">COUNTIFS(Resources!$D:$D,A9,Resources!$S:$S,"Needs check")</f>
        <v>1</v>
      </c>
      <c r="G9" s="9" t="n">
        <f aca="false">COUNTIFS(Resources!$D:$D,A9,Resources!$R:$R,"Notion import")</f>
        <v>0</v>
      </c>
    </row>
    <row r="10" customFormat="false" ht="15" hidden="false" customHeight="false" outlineLevel="0" collapsed="false">
      <c r="A10" s="9" t="s">
        <v>1600</v>
      </c>
      <c r="B10" s="9" t="s">
        <v>2291</v>
      </c>
      <c r="C10" s="9" t="s">
        <v>1599</v>
      </c>
      <c r="D10" s="10" t="s">
        <v>2292</v>
      </c>
      <c r="E10" s="9" t="n">
        <f aca="false">COUNTIF(Resources!$D:$D,A10)</f>
        <v>20</v>
      </c>
      <c r="F10" s="9" t="n">
        <f aca="false">COUNTIFS(Resources!$D:$D,A10,Resources!$S:$S,"Needs check")</f>
        <v>0</v>
      </c>
      <c r="G10" s="9" t="n">
        <f aca="false">COUNTIFS(Resources!$D:$D,A10,Resources!$R:$R,"Notion import")</f>
        <v>8</v>
      </c>
    </row>
    <row r="11" customFormat="false" ht="15" hidden="false" customHeight="false" outlineLevel="0" collapsed="false">
      <c r="A11" s="9" t="s">
        <v>1723</v>
      </c>
      <c r="B11" s="9" t="s">
        <v>2293</v>
      </c>
      <c r="C11" s="9" t="s">
        <v>1722</v>
      </c>
      <c r="D11" s="10" t="s">
        <v>2294</v>
      </c>
      <c r="E11" s="9" t="n">
        <f aca="false">COUNTIF(Resources!$D:$D,A11)</f>
        <v>31</v>
      </c>
      <c r="F11" s="9" t="n">
        <f aca="false">COUNTIFS(Resources!$D:$D,A11,Resources!$S:$S,"Needs check")</f>
        <v>0</v>
      </c>
      <c r="G11" s="9" t="n">
        <f aca="false">COUNTIFS(Resources!$D:$D,A11,Resources!$R:$R,"Notion import")</f>
        <v>0</v>
      </c>
    </row>
    <row r="12" customFormat="false" ht="15" hidden="false" customHeight="false" outlineLevel="0" collapsed="false">
      <c r="A12" s="9" t="s">
        <v>1905</v>
      </c>
      <c r="B12" s="9" t="s">
        <v>2295</v>
      </c>
      <c r="C12" s="9" t="s">
        <v>1904</v>
      </c>
      <c r="D12" s="10" t="s">
        <v>2296</v>
      </c>
      <c r="E12" s="9" t="n">
        <f aca="false">COUNTIF(Resources!$D:$D,A12)</f>
        <v>25</v>
      </c>
      <c r="F12" s="9" t="n">
        <f aca="false">COUNTIFS(Resources!$D:$D,A12,Resources!$S:$S,"Needs check")</f>
        <v>0</v>
      </c>
      <c r="G12" s="9" t="n">
        <f aca="false">COUNTIFS(Resources!$D:$D,A12,Resources!$R:$R,"Notion import")</f>
        <v>0</v>
      </c>
    </row>
    <row r="13" customFormat="false" ht="15" hidden="false" customHeight="false" outlineLevel="0" collapsed="false">
      <c r="A13" s="9" t="s">
        <v>2042</v>
      </c>
      <c r="B13" s="9" t="s">
        <v>2297</v>
      </c>
      <c r="C13" s="9" t="s">
        <v>2041</v>
      </c>
      <c r="D13" s="10" t="s">
        <v>2298</v>
      </c>
      <c r="E13" s="9" t="n">
        <f aca="false">COUNTIF(Resources!$D:$D,A13)</f>
        <v>21</v>
      </c>
      <c r="F13" s="9" t="n">
        <f aca="false">COUNTIFS(Resources!$D:$D,A13,Resources!$S:$S,"Needs check")</f>
        <v>0</v>
      </c>
      <c r="G13" s="9" t="n">
        <f aca="false">COUNTIFS(Resources!$D:$D,A13,Resources!$R:$R,"Notion import")</f>
        <v>0</v>
      </c>
    </row>
    <row r="14" customFormat="false" ht="15" hidden="false" customHeight="false" outlineLevel="0" collapsed="false">
      <c r="A14" s="9" t="s">
        <v>2153</v>
      </c>
      <c r="B14" s="9" t="s">
        <v>2299</v>
      </c>
      <c r="C14" s="9" t="s">
        <v>2152</v>
      </c>
      <c r="D14" s="10" t="s">
        <v>2300</v>
      </c>
      <c r="E14" s="9" t="n">
        <f aca="false">COUNTIF(Resources!$D:$D,A14)</f>
        <v>21</v>
      </c>
      <c r="F14" s="9" t="n">
        <f aca="false">COUNTIFS(Resources!$D:$D,A14,Resources!$S:$S,"Needs check")</f>
        <v>0</v>
      </c>
      <c r="G14" s="9" t="n">
        <f aca="false">COUNTIFS(Resources!$D:$D,A14,Resources!$R:$R,"Notion import")</f>
        <v>13</v>
      </c>
    </row>
    <row r="15" customFormat="false" ht="15" hidden="false" customHeight="false" outlineLevel="0" collapsed="false">
      <c r="C15" s="6" t="s">
        <v>2301</v>
      </c>
      <c r="E15" s="6" t="n">
        <f aca="false">SUM(E2:E14)</f>
        <v>353</v>
      </c>
      <c r="F15" s="6" t="n">
        <f aca="false">SUM(F2:F14)</f>
        <v>2</v>
      </c>
      <c r="G15" s="6" t="n">
        <f aca="false">SUM(G2:G14)</f>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1"/>
    <col collapsed="false" customWidth="true" hidden="false" outlineLevel="0" max="4" min="4" style="0" width="9"/>
    <col collapsed="false" customWidth="true" hidden="false" outlineLevel="0" max="6" min="5" style="0" width="11"/>
    <col collapsed="false" customWidth="true" hidden="false" outlineLevel="0" max="7" min="7" style="0" width="13"/>
  </cols>
  <sheetData>
    <row r="1" customFormat="false" ht="15" hidden="false" customHeight="false" outlineLevel="0" collapsed="false">
      <c r="A1" s="3" t="s">
        <v>2302</v>
      </c>
    </row>
    <row r="2" customFormat="false" ht="15" hidden="false" customHeight="false" outlineLevel="0" collapsed="false">
      <c r="A2" s="2" t="s">
        <v>2303</v>
      </c>
    </row>
    <row r="4" customFormat="false" ht="30" hidden="false" customHeight="true" outlineLevel="0" collapsed="false">
      <c r="A4" s="8" t="s">
        <v>73</v>
      </c>
      <c r="B4" s="8" t="s">
        <v>103</v>
      </c>
      <c r="C4" s="8" t="s">
        <v>82</v>
      </c>
      <c r="D4" s="8" t="s">
        <v>95</v>
      </c>
      <c r="E4" s="8" t="s">
        <v>818</v>
      </c>
      <c r="F4" s="8" t="s">
        <v>1306</v>
      </c>
      <c r="G4" s="8" t="s">
        <v>2304</v>
      </c>
    </row>
    <row r="5" customFormat="false" ht="15" hidden="false" customHeight="false" outlineLevel="0" collapsed="false">
      <c r="A5" s="13" t="s">
        <v>79</v>
      </c>
      <c r="B5" s="14" t="n">
        <f aca="false">COUNTIFS(Resources!$D:$D,"laws",Resources!$F:$F,"*Cybersecurity*")</f>
        <v>10</v>
      </c>
      <c r="C5" s="14" t="n">
        <f aca="false">COUNTIFS(Resources!$D:$D,"laws",Resources!$F:$F,"*Privacy*")</f>
        <v>24</v>
      </c>
      <c r="D5" s="14" t="n">
        <f aca="false">COUNTIFS(Resources!$D:$D,"laws",Resources!$F:$F,"*AI*")</f>
        <v>8</v>
      </c>
      <c r="E5" s="14" t="n">
        <f aca="false">COUNTIFS(Resources!$D:$D,"laws",Resources!$F:$F,"*Tech Law*")</f>
        <v>2</v>
      </c>
      <c r="F5" s="14" t="n">
        <f aca="false">COUNTIFS(Resources!$D:$D,"laws",Resources!$F:$F,"*General*")</f>
        <v>0</v>
      </c>
      <c r="G5" s="15" t="n">
        <f aca="false">COUNTIF(Resources!$D:$D,"laws")</f>
        <v>35</v>
      </c>
    </row>
    <row r="6" customFormat="false" ht="15" hidden="false" customHeight="false" outlineLevel="0" collapsed="false">
      <c r="A6" s="13" t="s">
        <v>322</v>
      </c>
      <c r="B6" s="14" t="n">
        <f aca="false">COUNTIFS(Resources!$D:$D,"regulators",Resources!$F:$F,"*Cybersecurity*")</f>
        <v>6</v>
      </c>
      <c r="C6" s="14" t="n">
        <f aca="false">COUNTIFS(Resources!$D:$D,"regulators",Resources!$F:$F,"*Privacy*")</f>
        <v>15</v>
      </c>
      <c r="D6" s="14" t="n">
        <f aca="false">COUNTIFS(Resources!$D:$D,"regulators",Resources!$F:$F,"*AI*")</f>
        <v>10</v>
      </c>
      <c r="E6" s="14" t="n">
        <f aca="false">COUNTIFS(Resources!$D:$D,"regulators",Resources!$F:$F,"*Tech Law*")</f>
        <v>0</v>
      </c>
      <c r="F6" s="14" t="n">
        <f aca="false">COUNTIFS(Resources!$D:$D,"regulators",Resources!$F:$F,"*General*")</f>
        <v>0</v>
      </c>
      <c r="G6" s="15" t="n">
        <f aca="false">COUNTIF(Resources!$D:$D,"regulators")</f>
        <v>21</v>
      </c>
    </row>
    <row r="7" customFormat="false" ht="15" hidden="false" customHeight="false" outlineLevel="0" collapsed="false">
      <c r="A7" s="13" t="s">
        <v>452</v>
      </c>
      <c r="B7" s="14" t="n">
        <f aca="false">COUNTIFS(Resources!$D:$D,"frameworks",Resources!$F:$F,"*Cybersecurity*")</f>
        <v>17</v>
      </c>
      <c r="C7" s="14" t="n">
        <f aca="false">COUNTIFS(Resources!$D:$D,"frameworks",Resources!$F:$F,"*Privacy*")</f>
        <v>9</v>
      </c>
      <c r="D7" s="14" t="n">
        <f aca="false">COUNTIFS(Resources!$D:$D,"frameworks",Resources!$F:$F,"*AI*")</f>
        <v>11</v>
      </c>
      <c r="E7" s="14" t="n">
        <f aca="false">COUNTIFS(Resources!$D:$D,"frameworks",Resources!$F:$F,"*Tech Law*")</f>
        <v>2</v>
      </c>
      <c r="F7" s="14" t="n">
        <f aca="false">COUNTIFS(Resources!$D:$D,"frameworks",Resources!$F:$F,"*General*")</f>
        <v>2</v>
      </c>
      <c r="G7" s="15" t="n">
        <f aca="false">COUNTIF(Resources!$D:$D,"frameworks")</f>
        <v>30</v>
      </c>
    </row>
    <row r="8" customFormat="false" ht="15" hidden="false" customHeight="false" outlineLevel="0" collapsed="false">
      <c r="A8" s="13" t="s">
        <v>644</v>
      </c>
      <c r="B8" s="14" t="n">
        <f aca="false">COUNTIFS(Resources!$D:$D,"certifications",Resources!$F:$F,"*Cybersecurity*")</f>
        <v>20</v>
      </c>
      <c r="C8" s="14" t="n">
        <f aca="false">COUNTIFS(Resources!$D:$D,"certifications",Resources!$F:$F,"*Privacy*")</f>
        <v>11</v>
      </c>
      <c r="D8" s="14" t="n">
        <f aca="false">COUNTIFS(Resources!$D:$D,"certifications",Resources!$F:$F,"*AI*")</f>
        <v>5</v>
      </c>
      <c r="E8" s="14" t="n">
        <f aca="false">COUNTIFS(Resources!$D:$D,"certifications",Resources!$F:$F,"*Tech Law*")</f>
        <v>8</v>
      </c>
      <c r="F8" s="14" t="n">
        <f aca="false">COUNTIFS(Resources!$D:$D,"certifications",Resources!$F:$F,"*General*")</f>
        <v>0</v>
      </c>
      <c r="G8" s="15" t="n">
        <f aca="false">COUNTIF(Resources!$D:$D,"certifications")</f>
        <v>30</v>
      </c>
    </row>
    <row r="9" customFormat="false" ht="15" hidden="false" customHeight="false" outlineLevel="0" collapsed="false">
      <c r="A9" s="13" t="s">
        <v>826</v>
      </c>
      <c r="B9" s="14" t="n">
        <f aca="false">COUNTIFS(Resources!$D:$D,"learning",Resources!$F:$F,"*Cybersecurity*")</f>
        <v>23</v>
      </c>
      <c r="C9" s="14" t="n">
        <f aca="false">COUNTIFS(Resources!$D:$D,"learning",Resources!$F:$F,"*Privacy*")</f>
        <v>6</v>
      </c>
      <c r="D9" s="14" t="n">
        <f aca="false">COUNTIFS(Resources!$D:$D,"learning",Resources!$F:$F,"*AI*")</f>
        <v>14</v>
      </c>
      <c r="E9" s="14" t="n">
        <f aca="false">COUNTIFS(Resources!$D:$D,"learning",Resources!$F:$F,"*Tech Law*")</f>
        <v>2</v>
      </c>
      <c r="F9" s="14" t="n">
        <f aca="false">COUNTIFS(Resources!$D:$D,"learning",Resources!$F:$F,"*General*")</f>
        <v>7</v>
      </c>
      <c r="G9" s="15" t="n">
        <f aca="false">COUNTIF(Resources!$D:$D,"learning")</f>
        <v>31</v>
      </c>
    </row>
    <row r="10" customFormat="false" ht="15" hidden="false" customHeight="false" outlineLevel="0" collapsed="false">
      <c r="A10" s="13" t="s">
        <v>1017</v>
      </c>
      <c r="B10" s="14" t="n">
        <f aca="false">COUNTIFS(Resources!$D:$D,"events",Resources!$F:$F,"*Cybersecurity*")</f>
        <v>21</v>
      </c>
      <c r="C10" s="14" t="n">
        <f aca="false">COUNTIFS(Resources!$D:$D,"events",Resources!$F:$F,"*Privacy*")</f>
        <v>18</v>
      </c>
      <c r="D10" s="14" t="n">
        <f aca="false">COUNTIFS(Resources!$D:$D,"events",Resources!$F:$F,"*AI*")</f>
        <v>20</v>
      </c>
      <c r="E10" s="14" t="n">
        <f aca="false">COUNTIFS(Resources!$D:$D,"events",Resources!$F:$F,"*Tech Law*")</f>
        <v>18</v>
      </c>
      <c r="F10" s="14" t="n">
        <f aca="false">COUNTIFS(Resources!$D:$D,"events",Resources!$F:$F,"*General*")</f>
        <v>0</v>
      </c>
      <c r="G10" s="15" t="n">
        <f aca="false">COUNTIF(Resources!$D:$D,"events")</f>
        <v>39</v>
      </c>
    </row>
    <row r="11" customFormat="false" ht="15" hidden="false" customHeight="false" outlineLevel="0" collapsed="false">
      <c r="A11" s="13" t="s">
        <v>1295</v>
      </c>
      <c r="B11" s="14" t="n">
        <f aca="false">COUNTIFS(Resources!$D:$D,"research",Resources!$F:$F,"*Cybersecurity*")</f>
        <v>10</v>
      </c>
      <c r="C11" s="14" t="n">
        <f aca="false">COUNTIFS(Resources!$D:$D,"research",Resources!$F:$F,"*Privacy*")</f>
        <v>9</v>
      </c>
      <c r="D11" s="14" t="n">
        <f aca="false">COUNTIFS(Resources!$D:$D,"research",Resources!$F:$F,"*AI*")</f>
        <v>9</v>
      </c>
      <c r="E11" s="14" t="n">
        <f aca="false">COUNTIFS(Resources!$D:$D,"research",Resources!$F:$F,"*Tech Law*")</f>
        <v>14</v>
      </c>
      <c r="F11" s="14" t="n">
        <f aca="false">COUNTIFS(Resources!$D:$D,"research",Resources!$F:$F,"*General*")</f>
        <v>4</v>
      </c>
      <c r="G11" s="15" t="n">
        <f aca="false">COUNTIF(Resources!$D:$D,"research")</f>
        <v>27</v>
      </c>
    </row>
    <row r="12" customFormat="false" ht="15" hidden="false" customHeight="false" outlineLevel="0" collapsed="false">
      <c r="A12" s="13" t="s">
        <v>1463</v>
      </c>
      <c r="B12" s="14" t="n">
        <f aca="false">COUNTIFS(Resources!$D:$D,"news",Resources!$F:$F,"*Cybersecurity*")</f>
        <v>12</v>
      </c>
      <c r="C12" s="14" t="n">
        <f aca="false">COUNTIFS(Resources!$D:$D,"news",Resources!$F:$F,"*Privacy*")</f>
        <v>10</v>
      </c>
      <c r="D12" s="14" t="n">
        <f aca="false">COUNTIFS(Resources!$D:$D,"news",Resources!$F:$F,"*AI*")</f>
        <v>10</v>
      </c>
      <c r="E12" s="14" t="n">
        <f aca="false">COUNTIFS(Resources!$D:$D,"news",Resources!$F:$F,"*Tech Law*")</f>
        <v>11</v>
      </c>
      <c r="F12" s="14" t="n">
        <f aca="false">COUNTIFS(Resources!$D:$D,"news",Resources!$F:$F,"*General*")</f>
        <v>4</v>
      </c>
      <c r="G12" s="15" t="n">
        <f aca="false">COUNTIF(Resources!$D:$D,"news")</f>
        <v>22</v>
      </c>
    </row>
    <row r="13" customFormat="false" ht="15" hidden="false" customHeight="false" outlineLevel="0" collapsed="false">
      <c r="A13" s="13" t="s">
        <v>1599</v>
      </c>
      <c r="B13" s="14" t="n">
        <f aca="false">COUNTIFS(Resources!$D:$D,"podcasts",Resources!$F:$F,"*Cybersecurity*")</f>
        <v>10</v>
      </c>
      <c r="C13" s="14" t="n">
        <f aca="false">COUNTIFS(Resources!$D:$D,"podcasts",Resources!$F:$F,"*Privacy*")</f>
        <v>10</v>
      </c>
      <c r="D13" s="14" t="n">
        <f aca="false">COUNTIFS(Resources!$D:$D,"podcasts",Resources!$F:$F,"*AI*")</f>
        <v>11</v>
      </c>
      <c r="E13" s="14" t="n">
        <f aca="false">COUNTIFS(Resources!$D:$D,"podcasts",Resources!$F:$F,"*Tech Law*")</f>
        <v>7</v>
      </c>
      <c r="F13" s="14" t="n">
        <f aca="false">COUNTIFS(Resources!$D:$D,"podcasts",Resources!$F:$F,"*General*")</f>
        <v>4</v>
      </c>
      <c r="G13" s="15" t="n">
        <f aca="false">COUNTIF(Resources!$D:$D,"podcasts")</f>
        <v>20</v>
      </c>
    </row>
    <row r="14" customFormat="false" ht="15" hidden="false" customHeight="false" outlineLevel="0" collapsed="false">
      <c r="A14" s="13" t="s">
        <v>1722</v>
      </c>
      <c r="B14" s="14" t="n">
        <f aca="false">COUNTIFS(Resources!$D:$D,"books",Resources!$F:$F,"*Cybersecurity*")</f>
        <v>10</v>
      </c>
      <c r="C14" s="14" t="n">
        <f aca="false">COUNTIFS(Resources!$D:$D,"books",Resources!$F:$F,"*Privacy*")</f>
        <v>22</v>
      </c>
      <c r="D14" s="14" t="n">
        <f aca="false">COUNTIFS(Resources!$D:$D,"books",Resources!$F:$F,"*AI*")</f>
        <v>8</v>
      </c>
      <c r="E14" s="14" t="n">
        <f aca="false">COUNTIFS(Resources!$D:$D,"books",Resources!$F:$F,"*Tech Law*")</f>
        <v>17</v>
      </c>
      <c r="F14" s="14" t="n">
        <f aca="false">COUNTIFS(Resources!$D:$D,"books",Resources!$F:$F,"*General*")</f>
        <v>0</v>
      </c>
      <c r="G14" s="15" t="n">
        <f aca="false">COUNTIF(Resources!$D:$D,"books")</f>
        <v>31</v>
      </c>
    </row>
    <row r="15" customFormat="false" ht="15" hidden="false" customHeight="false" outlineLevel="0" collapsed="false">
      <c r="A15" s="13" t="s">
        <v>1904</v>
      </c>
      <c r="B15" s="14" t="n">
        <f aca="false">COUNTIFS(Resources!$D:$D,"tools",Resources!$F:$F,"*Cybersecurity*")</f>
        <v>14</v>
      </c>
      <c r="C15" s="14" t="n">
        <f aca="false">COUNTIFS(Resources!$D:$D,"tools",Resources!$F:$F,"*Privacy*")</f>
        <v>7</v>
      </c>
      <c r="D15" s="14" t="n">
        <f aca="false">COUNTIFS(Resources!$D:$D,"tools",Resources!$F:$F,"*AI*")</f>
        <v>8</v>
      </c>
      <c r="E15" s="14" t="n">
        <f aca="false">COUNTIFS(Resources!$D:$D,"tools",Resources!$F:$F,"*Tech Law*")</f>
        <v>1</v>
      </c>
      <c r="F15" s="14" t="n">
        <f aca="false">COUNTIFS(Resources!$D:$D,"tools",Resources!$F:$F,"*General*")</f>
        <v>0</v>
      </c>
      <c r="G15" s="15" t="n">
        <f aca="false">COUNTIF(Resources!$D:$D,"tools")</f>
        <v>25</v>
      </c>
    </row>
    <row r="16" customFormat="false" ht="15" hidden="false" customHeight="false" outlineLevel="0" collapsed="false">
      <c r="A16" s="13" t="s">
        <v>2041</v>
      </c>
      <c r="B16" s="14" t="n">
        <f aca="false">COUNTIFS(Resources!$D:$D,"communities",Resources!$F:$F,"*Cybersecurity*")</f>
        <v>10</v>
      </c>
      <c r="C16" s="14" t="n">
        <f aca="false">COUNTIFS(Resources!$D:$D,"communities",Resources!$F:$F,"*Privacy*")</f>
        <v>11</v>
      </c>
      <c r="D16" s="14" t="n">
        <f aca="false">COUNTIFS(Resources!$D:$D,"communities",Resources!$F:$F,"*AI*")</f>
        <v>10</v>
      </c>
      <c r="E16" s="14" t="n">
        <f aca="false">COUNTIFS(Resources!$D:$D,"communities",Resources!$F:$F,"*Tech Law*")</f>
        <v>8</v>
      </c>
      <c r="F16" s="14" t="n">
        <f aca="false">COUNTIFS(Resources!$D:$D,"communities",Resources!$F:$F,"*General*")</f>
        <v>0</v>
      </c>
      <c r="G16" s="15" t="n">
        <f aca="false">COUNTIF(Resources!$D:$D,"communities")</f>
        <v>21</v>
      </c>
    </row>
    <row r="17" customFormat="false" ht="15" hidden="false" customHeight="false" outlineLevel="0" collapsed="false">
      <c r="A17" s="13" t="s">
        <v>2152</v>
      </c>
      <c r="B17" s="14" t="n">
        <f aca="false">COUNTIFS(Resources!$D:$D,"jobs",Resources!$F:$F,"*Cybersecurity*")</f>
        <v>18</v>
      </c>
      <c r="C17" s="14" t="n">
        <f aca="false">COUNTIFS(Resources!$D:$D,"jobs",Resources!$F:$F,"*Privacy*")</f>
        <v>5</v>
      </c>
      <c r="D17" s="14" t="n">
        <f aca="false">COUNTIFS(Resources!$D:$D,"jobs",Resources!$F:$F,"*AI*")</f>
        <v>2</v>
      </c>
      <c r="E17" s="14" t="n">
        <f aca="false">COUNTIFS(Resources!$D:$D,"jobs",Resources!$F:$F,"*Tech Law*")</f>
        <v>1</v>
      </c>
      <c r="F17" s="14" t="n">
        <f aca="false">COUNTIFS(Resources!$D:$D,"jobs",Resources!$F:$F,"*General*")</f>
        <v>2</v>
      </c>
      <c r="G17" s="15" t="n">
        <f aca="false">COUNTIF(Resources!$D:$D,"jobs")</f>
        <v>21</v>
      </c>
    </row>
    <row r="18" customFormat="false" ht="15" hidden="false" customHeight="false" outlineLevel="0" collapsed="false">
      <c r="A18" s="6" t="s">
        <v>2305</v>
      </c>
      <c r="B18" s="6" t="n">
        <f aca="false">SUM(B5:B17)</f>
        <v>181</v>
      </c>
      <c r="C18" s="6" t="n">
        <f aca="false">SUM(C5:C17)</f>
        <v>157</v>
      </c>
      <c r="D18" s="6" t="n">
        <f aca="false">SUM(D5:D17)</f>
        <v>126</v>
      </c>
      <c r="E18" s="6" t="n">
        <f aca="false">SUM(E5:E17)</f>
        <v>91</v>
      </c>
      <c r="F18" s="6" t="n">
        <f aca="false">SUM(F5:F17)</f>
        <v>23</v>
      </c>
      <c r="G18" s="6" t="n">
        <f aca="false">SUM(G5:G17)</f>
        <v>353</v>
      </c>
    </row>
  </sheetData>
  <conditionalFormatting sqref="B5:F17">
    <cfRule type="colorScale" priority="2">
      <colorScale>
        <cfvo type="num" val="0"/>
        <cfvo type="max" val="0"/>
        <color rgb="FFFFFFFF"/>
        <color rgb="FFAEB5F2"/>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8"/>
    <col collapsed="false" customWidth="true" hidden="false" outlineLevel="0" max="3" min="3" style="0" width="70"/>
    <col collapsed="false" customWidth="true" hidden="false" outlineLevel="0" max="4" min="4" style="0" width="42"/>
  </cols>
  <sheetData>
    <row r="1" customFormat="false" ht="30" hidden="false" customHeight="true" outlineLevel="0" collapsed="false">
      <c r="A1" s="8" t="s">
        <v>29</v>
      </c>
      <c r="B1" s="8" t="s">
        <v>2306</v>
      </c>
      <c r="C1" s="8" t="s">
        <v>2307</v>
      </c>
      <c r="D1" s="8" t="s">
        <v>2308</v>
      </c>
    </row>
    <row r="2" customFormat="false" ht="15" hidden="false" customHeight="false" outlineLevel="0" collapsed="false">
      <c r="A2" s="10" t="s">
        <v>2309</v>
      </c>
      <c r="B2" s="10" t="s">
        <v>2310</v>
      </c>
      <c r="C2" s="10" t="s">
        <v>2311</v>
      </c>
      <c r="D2" s="10" t="s">
        <v>2312</v>
      </c>
    </row>
    <row r="3" customFormat="false" ht="15" hidden="false" customHeight="false" outlineLevel="0" collapsed="false">
      <c r="A3" s="10" t="s">
        <v>2313</v>
      </c>
      <c r="B3" s="10" t="s">
        <v>2310</v>
      </c>
      <c r="C3" s="10" t="s">
        <v>2311</v>
      </c>
      <c r="D3" s="10" t="s">
        <v>2312</v>
      </c>
    </row>
    <row r="4" customFormat="false" ht="15" hidden="false" customHeight="false" outlineLevel="0" collapsed="false">
      <c r="A4" s="10" t="s">
        <v>2314</v>
      </c>
      <c r="B4" s="10" t="s">
        <v>2310</v>
      </c>
      <c r="C4" s="10" t="s">
        <v>2311</v>
      </c>
      <c r="D4" s="10" t="s">
        <v>2312</v>
      </c>
    </row>
    <row r="5" customFormat="false" ht="15" hidden="false" customHeight="false" outlineLevel="0" collapsed="false">
      <c r="A5" s="10" t="s">
        <v>2315</v>
      </c>
      <c r="B5" s="10" t="s">
        <v>2310</v>
      </c>
      <c r="C5" s="10" t="s">
        <v>2311</v>
      </c>
      <c r="D5" s="10" t="s">
        <v>2312</v>
      </c>
    </row>
    <row r="6" customFormat="false" ht="15" hidden="false" customHeight="false" outlineLevel="0" collapsed="false">
      <c r="A6" s="10" t="s">
        <v>2316</v>
      </c>
      <c r="B6" s="10" t="s">
        <v>2310</v>
      </c>
      <c r="C6" s="10" t="s">
        <v>2311</v>
      </c>
      <c r="D6" s="10" t="s">
        <v>2312</v>
      </c>
    </row>
    <row r="7" customFormat="false" ht="15" hidden="false" customHeight="false" outlineLevel="0" collapsed="false">
      <c r="A7" s="10" t="s">
        <v>2317</v>
      </c>
      <c r="B7" s="10" t="s">
        <v>2310</v>
      </c>
      <c r="C7" s="10" t="s">
        <v>2311</v>
      </c>
      <c r="D7" s="10" t="s">
        <v>2312</v>
      </c>
    </row>
    <row r="8" customFormat="false" ht="15" hidden="false" customHeight="false" outlineLevel="0" collapsed="false">
      <c r="A8" s="10" t="s">
        <v>2318</v>
      </c>
      <c r="B8" s="10" t="s">
        <v>2310</v>
      </c>
      <c r="C8" s="10" t="s">
        <v>2311</v>
      </c>
      <c r="D8" s="10" t="s">
        <v>2312</v>
      </c>
    </row>
    <row r="9" customFormat="false" ht="15" hidden="false" customHeight="false" outlineLevel="0" collapsed="false">
      <c r="A9" s="10" t="s">
        <v>2319</v>
      </c>
      <c r="B9" s="10" t="s">
        <v>2310</v>
      </c>
      <c r="C9" s="10" t="s">
        <v>2311</v>
      </c>
      <c r="D9" s="10" t="s">
        <v>2312</v>
      </c>
    </row>
    <row r="10" customFormat="false" ht="15" hidden="false" customHeight="false" outlineLevel="0" collapsed="false">
      <c r="A10" s="10" t="s">
        <v>2320</v>
      </c>
      <c r="B10" s="10" t="s">
        <v>2310</v>
      </c>
      <c r="C10" s="10" t="s">
        <v>2311</v>
      </c>
      <c r="D10" s="10" t="s">
        <v>2312</v>
      </c>
    </row>
    <row r="11" customFormat="false" ht="15" hidden="false" customHeight="false" outlineLevel="0" collapsed="false">
      <c r="A11" s="10" t="s">
        <v>2321</v>
      </c>
      <c r="B11" s="10" t="s">
        <v>2310</v>
      </c>
      <c r="C11" s="10" t="s">
        <v>2311</v>
      </c>
      <c r="D11" s="10" t="s">
        <v>2312</v>
      </c>
    </row>
    <row r="12" customFormat="false" ht="15" hidden="false" customHeight="false" outlineLevel="0" collapsed="false">
      <c r="A12" s="10" t="s">
        <v>2322</v>
      </c>
      <c r="B12" s="10" t="s">
        <v>2310</v>
      </c>
      <c r="C12" s="10" t="s">
        <v>2311</v>
      </c>
      <c r="D12" s="10" t="s">
        <v>2312</v>
      </c>
    </row>
    <row r="13" customFormat="false" ht="15" hidden="false" customHeight="false" outlineLevel="0" collapsed="false">
      <c r="A13" s="10" t="s">
        <v>2323</v>
      </c>
      <c r="B13" s="10" t="s">
        <v>2310</v>
      </c>
      <c r="C13" s="10" t="s">
        <v>2311</v>
      </c>
      <c r="D13" s="10" t="s">
        <v>2312</v>
      </c>
    </row>
    <row r="14" customFormat="false" ht="15" hidden="false" customHeight="false" outlineLevel="0" collapsed="false">
      <c r="A14" s="10" t="s">
        <v>2324</v>
      </c>
      <c r="B14" s="10" t="s">
        <v>2310</v>
      </c>
      <c r="C14" s="10" t="s">
        <v>2311</v>
      </c>
      <c r="D14" s="10" t="s">
        <v>2312</v>
      </c>
    </row>
    <row r="15" customFormat="false" ht="15" hidden="false" customHeight="false" outlineLevel="0" collapsed="false">
      <c r="A15" s="10" t="s">
        <v>2325</v>
      </c>
      <c r="B15" s="10" t="s">
        <v>2310</v>
      </c>
      <c r="C15" s="10" t="s">
        <v>2311</v>
      </c>
      <c r="D15" s="10" t="s">
        <v>2312</v>
      </c>
    </row>
    <row r="16" customFormat="false" ht="15" hidden="false" customHeight="false" outlineLevel="0" collapsed="false">
      <c r="A16" s="10" t="s">
        <v>2326</v>
      </c>
      <c r="B16" s="10" t="s">
        <v>2310</v>
      </c>
      <c r="C16" s="10" t="s">
        <v>2311</v>
      </c>
      <c r="D16" s="10" t="s">
        <v>2312</v>
      </c>
    </row>
    <row r="17" customFormat="false" ht="15" hidden="false" customHeight="false" outlineLevel="0" collapsed="false">
      <c r="A17" s="10" t="s">
        <v>2327</v>
      </c>
      <c r="B17" s="10" t="s">
        <v>2310</v>
      </c>
      <c r="C17" s="10" t="s">
        <v>2311</v>
      </c>
      <c r="D17" s="10" t="s">
        <v>2312</v>
      </c>
    </row>
    <row r="18" customFormat="false" ht="15" hidden="false" customHeight="false" outlineLevel="0" collapsed="false">
      <c r="A18" s="10" t="s">
        <v>2328</v>
      </c>
      <c r="B18" s="10" t="s">
        <v>826</v>
      </c>
      <c r="C18" s="10" t="s">
        <v>2329</v>
      </c>
      <c r="D18" s="10"/>
    </row>
    <row r="19" customFormat="false" ht="15" hidden="false" customHeight="false" outlineLevel="0" collapsed="false">
      <c r="A19" s="10" t="s">
        <v>2330</v>
      </c>
      <c r="B19" s="10" t="s">
        <v>826</v>
      </c>
      <c r="C19" s="10" t="s">
        <v>2331</v>
      </c>
      <c r="D19" s="10"/>
    </row>
    <row r="20" customFormat="false" ht="15" hidden="false" customHeight="false" outlineLevel="0" collapsed="false">
      <c r="A20" s="10" t="s">
        <v>2332</v>
      </c>
      <c r="B20" s="10" t="s">
        <v>826</v>
      </c>
      <c r="C20" s="10" t="s">
        <v>2333</v>
      </c>
      <c r="D20" s="10"/>
    </row>
    <row r="21" customFormat="false" ht="15" hidden="false" customHeight="false" outlineLevel="0" collapsed="false">
      <c r="A21" s="10" t="s">
        <v>2334</v>
      </c>
      <c r="B21" s="10" t="s">
        <v>826</v>
      </c>
      <c r="C21" s="10" t="s">
        <v>2335</v>
      </c>
      <c r="D21" s="10"/>
    </row>
    <row r="22" customFormat="false" ht="15" hidden="false" customHeight="false" outlineLevel="0" collapsed="false">
      <c r="A22" s="10" t="s">
        <v>2336</v>
      </c>
      <c r="B22" s="10" t="s">
        <v>826</v>
      </c>
      <c r="C22" s="10" t="s">
        <v>2337</v>
      </c>
      <c r="D22" s="10"/>
    </row>
    <row r="23" customFormat="false" ht="15" hidden="false" customHeight="false" outlineLevel="0" collapsed="false">
      <c r="A23" s="10" t="s">
        <v>2338</v>
      </c>
      <c r="B23" s="10" t="s">
        <v>826</v>
      </c>
      <c r="C23" s="10" t="s">
        <v>2339</v>
      </c>
      <c r="D23" s="10"/>
    </row>
    <row r="24" customFormat="false" ht="15" hidden="false" customHeight="false" outlineLevel="0" collapsed="false">
      <c r="A24" s="10" t="s">
        <v>2340</v>
      </c>
      <c r="B24" s="10" t="s">
        <v>826</v>
      </c>
      <c r="C24" s="10" t="s">
        <v>2341</v>
      </c>
      <c r="D24" s="10"/>
    </row>
    <row r="25" customFormat="false" ht="15" hidden="false" customHeight="false" outlineLevel="0" collapsed="false">
      <c r="A25" s="10" t="s">
        <v>2342</v>
      </c>
      <c r="B25" s="10" t="s">
        <v>826</v>
      </c>
      <c r="C25" s="10" t="s">
        <v>2343</v>
      </c>
      <c r="D25" s="10"/>
    </row>
    <row r="26" customFormat="false" ht="15" hidden="false" customHeight="false" outlineLevel="0" collapsed="false">
      <c r="A26" s="10" t="s">
        <v>2344</v>
      </c>
      <c r="B26" s="10" t="s">
        <v>2345</v>
      </c>
      <c r="C26" s="10" t="s">
        <v>2346</v>
      </c>
      <c r="D26" s="10" t="s">
        <v>2347</v>
      </c>
    </row>
    <row r="27" customFormat="false" ht="15" hidden="false" customHeight="false" outlineLevel="0" collapsed="false">
      <c r="A27" s="10" t="s">
        <v>2348</v>
      </c>
      <c r="B27" s="10" t="s">
        <v>2345</v>
      </c>
      <c r="C27" s="10" t="s">
        <v>2349</v>
      </c>
      <c r="D27" s="10"/>
    </row>
    <row r="28" customFormat="false" ht="15" hidden="false" customHeight="false" outlineLevel="0" collapsed="false">
      <c r="A28" s="10" t="s">
        <v>2350</v>
      </c>
      <c r="B28" s="10" t="s">
        <v>2345</v>
      </c>
      <c r="C28" s="10" t="s">
        <v>2351</v>
      </c>
      <c r="D28" s="10" t="s">
        <v>2352</v>
      </c>
    </row>
    <row r="29" customFormat="false" ht="15" hidden="false" customHeight="false" outlineLevel="0" collapsed="false">
      <c r="A29" s="10" t="s">
        <v>2353</v>
      </c>
      <c r="B29" s="10" t="s">
        <v>2345</v>
      </c>
      <c r="C29" s="10" t="s">
        <v>2354</v>
      </c>
      <c r="D29" s="10"/>
    </row>
    <row r="30" customFormat="false" ht="15" hidden="false" customHeight="false" outlineLevel="0" collapsed="false">
      <c r="A30" s="10" t="s">
        <v>2355</v>
      </c>
      <c r="B30" s="10" t="s">
        <v>1722</v>
      </c>
      <c r="C30" s="10" t="s">
        <v>2356</v>
      </c>
      <c r="D30" s="10"/>
    </row>
    <row r="31" customFormat="false" ht="23.85" hidden="false" customHeight="false" outlineLevel="0" collapsed="false">
      <c r="A31" s="10" t="s">
        <v>2357</v>
      </c>
      <c r="B31" s="10" t="s">
        <v>1722</v>
      </c>
      <c r="C31" s="10" t="s">
        <v>2358</v>
      </c>
      <c r="D31" s="10" t="s">
        <v>2359</v>
      </c>
    </row>
    <row r="32" customFormat="false" ht="15" hidden="false" customHeight="false" outlineLevel="0" collapsed="false">
      <c r="A32" s="10" t="s">
        <v>2360</v>
      </c>
      <c r="B32" s="10" t="s">
        <v>1722</v>
      </c>
      <c r="C32" s="10" t="s">
        <v>2361</v>
      </c>
      <c r="D32" s="10" t="s">
        <v>2362</v>
      </c>
    </row>
    <row r="33" customFormat="false" ht="15" hidden="false" customHeight="false" outlineLevel="0" collapsed="false">
      <c r="A33" s="10" t="s">
        <v>2363</v>
      </c>
      <c r="B33" s="10" t="s">
        <v>2364</v>
      </c>
      <c r="C33" s="10" t="s">
        <v>2365</v>
      </c>
      <c r="D33" s="10"/>
    </row>
    <row r="34" customFormat="false" ht="15" hidden="false" customHeight="false" outlineLevel="0" collapsed="false">
      <c r="A34" s="10" t="s">
        <v>2366</v>
      </c>
      <c r="B34" s="10" t="s">
        <v>2364</v>
      </c>
      <c r="C34" s="10" t="s">
        <v>2367</v>
      </c>
      <c r="D34" s="10"/>
    </row>
    <row r="35" customFormat="false" ht="15" hidden="false" customHeight="false" outlineLevel="0" collapsed="false">
      <c r="A35" s="10" t="s">
        <v>2368</v>
      </c>
      <c r="B35" s="10" t="s">
        <v>1599</v>
      </c>
      <c r="C35" s="10" t="s">
        <v>2369</v>
      </c>
      <c r="D35" s="10" t="s">
        <v>2370</v>
      </c>
    </row>
    <row r="36" customFormat="false" ht="15" hidden="false" customHeight="false" outlineLevel="0" collapsed="false">
      <c r="A36" s="10" t="s">
        <v>2371</v>
      </c>
      <c r="B36" s="10" t="s">
        <v>1017</v>
      </c>
      <c r="C36" s="10" t="s">
        <v>2372</v>
      </c>
      <c r="D36" s="10" t="s">
        <v>2373</v>
      </c>
    </row>
    <row r="37" customFormat="false" ht="15" hidden="false" customHeight="false" outlineLevel="0" collapsed="false">
      <c r="A37" s="10" t="s">
        <v>2374</v>
      </c>
      <c r="B37" s="10" t="s">
        <v>1017</v>
      </c>
      <c r="C37" s="10" t="s">
        <v>2375</v>
      </c>
      <c r="D37" s="10"/>
    </row>
    <row r="38" customFormat="false" ht="15" hidden="false" customHeight="false" outlineLevel="0" collapsed="false">
      <c r="A38" s="10" t="s">
        <v>2376</v>
      </c>
      <c r="B38" s="10" t="s">
        <v>1017</v>
      </c>
      <c r="C38" s="10" t="s">
        <v>2375</v>
      </c>
      <c r="D38" s="10"/>
    </row>
    <row r="39" customFormat="false" ht="15" hidden="false" customHeight="false" outlineLevel="0" collapsed="false">
      <c r="A39" s="10" t="s">
        <v>2377</v>
      </c>
      <c r="B39" s="10" t="s">
        <v>1017</v>
      </c>
      <c r="C39" s="10" t="s">
        <v>2378</v>
      </c>
      <c r="D39" s="10"/>
    </row>
    <row r="40" customFormat="false" ht="15" hidden="false" customHeight="false" outlineLevel="0" collapsed="false">
      <c r="A40" s="10" t="s">
        <v>2379</v>
      </c>
      <c r="B40" s="10" t="s">
        <v>1017</v>
      </c>
      <c r="C40" s="10" t="s">
        <v>2375</v>
      </c>
      <c r="D40" s="10"/>
    </row>
    <row r="41" customFormat="false" ht="15" hidden="false" customHeight="false" outlineLevel="0" collapsed="false">
      <c r="A41" s="10" t="s">
        <v>2380</v>
      </c>
      <c r="B41" s="10" t="s">
        <v>1017</v>
      </c>
      <c r="C41" s="10" t="s">
        <v>2381</v>
      </c>
      <c r="D41" s="10" t="s">
        <v>2382</v>
      </c>
    </row>
    <row r="42" customFormat="false" ht="15" hidden="false" customHeight="false" outlineLevel="0" collapsed="false">
      <c r="A42" s="10" t="s">
        <v>2383</v>
      </c>
      <c r="B42" s="10" t="s">
        <v>1017</v>
      </c>
      <c r="C42" s="10" t="s">
        <v>2384</v>
      </c>
      <c r="D42" s="10" t="s">
        <v>2373</v>
      </c>
    </row>
    <row r="43" customFormat="false" ht="23.85" hidden="false" customHeight="false" outlineLevel="0" collapsed="false">
      <c r="A43" s="10" t="s">
        <v>2385</v>
      </c>
      <c r="B43" s="10" t="s">
        <v>1017</v>
      </c>
      <c r="C43" s="10" t="s">
        <v>2386</v>
      </c>
      <c r="D43" s="10" t="s">
        <v>1274</v>
      </c>
    </row>
    <row r="44" customFormat="false" ht="15" hidden="false" customHeight="false" outlineLevel="0" collapsed="false">
      <c r="A44" s="10" t="s">
        <v>2387</v>
      </c>
      <c r="B44" s="10" t="s">
        <v>1017</v>
      </c>
      <c r="C44" s="10" t="s">
        <v>2386</v>
      </c>
      <c r="D44" s="10" t="s">
        <v>1247</v>
      </c>
    </row>
    <row r="45" customFormat="false" ht="15" hidden="false" customHeight="false" outlineLevel="0" collapsed="false">
      <c r="A45" s="10" t="s">
        <v>2388</v>
      </c>
      <c r="B45" s="10" t="s">
        <v>1017</v>
      </c>
      <c r="C45" s="10" t="s">
        <v>2386</v>
      </c>
      <c r="D45" s="10" t="s">
        <v>1280</v>
      </c>
    </row>
    <row r="46" customFormat="false" ht="15" hidden="false" customHeight="false" outlineLevel="0" collapsed="false">
      <c r="A46" s="10" t="s">
        <v>2389</v>
      </c>
      <c r="B46" s="10" t="s">
        <v>1017</v>
      </c>
      <c r="C46" s="10" t="s">
        <v>2390</v>
      </c>
      <c r="D46" s="10" t="s">
        <v>1217</v>
      </c>
    </row>
    <row r="47" customFormat="false" ht="23.85" hidden="false" customHeight="false" outlineLevel="0" collapsed="false">
      <c r="A47" s="10" t="s">
        <v>2391</v>
      </c>
      <c r="B47" s="10" t="s">
        <v>2392</v>
      </c>
      <c r="C47" s="10" t="s">
        <v>2393</v>
      </c>
      <c r="D47" s="10"/>
    </row>
    <row r="48" customFormat="false" ht="23.85" hidden="false" customHeight="false" outlineLevel="0" collapsed="false">
      <c r="A48" s="10" t="s">
        <v>2394</v>
      </c>
      <c r="B48" s="10" t="s">
        <v>1017</v>
      </c>
      <c r="C48" s="10" t="s">
        <v>2386</v>
      </c>
      <c r="D48" s="10" t="s">
        <v>1077</v>
      </c>
    </row>
    <row r="49" customFormat="false" ht="15" hidden="false" customHeight="false" outlineLevel="0" collapsed="false">
      <c r="A49" s="10" t="s">
        <v>2395</v>
      </c>
      <c r="B49" s="10" t="s">
        <v>1017</v>
      </c>
      <c r="C49" s="10" t="s">
        <v>2396</v>
      </c>
      <c r="D49" s="10" t="s">
        <v>2397</v>
      </c>
    </row>
    <row r="50" customFormat="false" ht="15" hidden="false" customHeight="false" outlineLevel="0" collapsed="false">
      <c r="A50" s="10" t="s">
        <v>2398</v>
      </c>
      <c r="B50" s="10" t="s">
        <v>644</v>
      </c>
      <c r="C50" s="10" t="s">
        <v>2399</v>
      </c>
      <c r="D50" s="10" t="s">
        <v>2400</v>
      </c>
    </row>
    <row r="51" customFormat="false" ht="15" hidden="false" customHeight="false" outlineLevel="0" collapsed="false">
      <c r="A51" s="10" t="s">
        <v>2401</v>
      </c>
      <c r="B51" s="10" t="s">
        <v>2364</v>
      </c>
      <c r="C51" s="10" t="s">
        <v>2402</v>
      </c>
      <c r="D51" s="10" t="s">
        <v>2164</v>
      </c>
    </row>
    <row r="52" customFormat="false" ht="15" hidden="false" customHeight="false" outlineLevel="0" collapsed="false">
      <c r="A52" s="10" t="s">
        <v>2403</v>
      </c>
      <c r="B52" s="10" t="s">
        <v>644</v>
      </c>
      <c r="C52" s="10" t="s">
        <v>2404</v>
      </c>
      <c r="D52"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2026-10-29T16:52:04Z</dcterms:created>
  <dc:creator>openpyxl</dc:creator>
  <dc:description/>
  <dc:language>en-US</dc:language>
  <cp:lastModifiedBy/>
  <dcterms:modified xsi:type="dcterms:W3CDTF">2026-10-29T16:52:04Z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